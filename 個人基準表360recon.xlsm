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and\Downloads\code\tyfd_duty_time\"/>
    </mc:Choice>
  </mc:AlternateContent>
  <xr:revisionPtr revIDLastSave="0" documentId="13_ncr:1_{DEC0C8F3-3E28-4400-9E12-4D5EDC8BD3AD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日曆_輸入區" sheetId="5" r:id="rId1"/>
    <sheet name="假別_設定區" sheetId="6" r:id="rId2"/>
    <sheet name="setting_py" sheetId="7" state="hidden" r:id="rId3"/>
    <sheet name="國定假日_web" sheetId="8" r:id="rId4"/>
    <sheet name="開發歷程" sheetId="2" r:id="rId5"/>
  </sheets>
  <definedNames>
    <definedName name="外部資料_1" localSheetId="3" hidden="1">國定假日_web!$A$1:$E$1649</definedName>
  </definedNames>
  <calcPr calcId="191029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5" i="5" l="1" a="1"/>
  <c r="K15" i="5" s="1"/>
  <c r="J15" i="5" a="1"/>
  <c r="J15" i="5" s="1"/>
  <c r="Q16" i="6" a="1"/>
  <c r="Q16" i="6" s="1"/>
  <c r="Q7" i="6" a="1"/>
  <c r="Q7" i="6" s="1"/>
  <c r="A2" i="5"/>
  <c r="A3" i="5" s="1"/>
  <c r="M2" i="5"/>
  <c r="O2" i="5" s="1"/>
  <c r="P2" i="5" l="1"/>
  <c r="B3" i="5"/>
  <c r="A4" i="5"/>
  <c r="B2" i="5"/>
  <c r="M3" i="5"/>
  <c r="P3" i="5" s="1"/>
  <c r="N2" i="5"/>
  <c r="O3" i="5" l="1"/>
  <c r="B4" i="5"/>
  <c r="A5" i="5"/>
  <c r="M4" i="5"/>
  <c r="P4" i="5" s="1"/>
  <c r="N3" i="5"/>
  <c r="O4" i="5" l="1"/>
  <c r="A6" i="5"/>
  <c r="B5" i="5"/>
  <c r="M5" i="5"/>
  <c r="P5" i="5" s="1"/>
  <c r="N4" i="5"/>
  <c r="O5" i="5" l="1"/>
  <c r="A7" i="5"/>
  <c r="B6" i="5"/>
  <c r="M6" i="5"/>
  <c r="P6" i="5" s="1"/>
  <c r="N5" i="5"/>
  <c r="O6" i="5" l="1"/>
  <c r="A8" i="5"/>
  <c r="B7" i="5"/>
  <c r="M7" i="5"/>
  <c r="P7" i="5" s="1"/>
  <c r="N6" i="5"/>
  <c r="O7" i="5" l="1"/>
  <c r="A9" i="5"/>
  <c r="B8" i="5"/>
  <c r="M8" i="5"/>
  <c r="P8" i="5" s="1"/>
  <c r="N7" i="5"/>
  <c r="O8" i="5" l="1"/>
  <c r="A10" i="5"/>
  <c r="B9" i="5"/>
  <c r="M9" i="5"/>
  <c r="P9" i="5" s="1"/>
  <c r="N8" i="5"/>
  <c r="O9" i="5" l="1"/>
  <c r="A11" i="5"/>
  <c r="B10" i="5"/>
  <c r="M10" i="5"/>
  <c r="P10" i="5" s="1"/>
  <c r="N9" i="5"/>
  <c r="O10" i="5" l="1"/>
  <c r="A12" i="5"/>
  <c r="B11" i="5"/>
  <c r="M11" i="5"/>
  <c r="P11" i="5" s="1"/>
  <c r="N10" i="5"/>
  <c r="O11" i="5" l="1"/>
  <c r="A13" i="5"/>
  <c r="B12" i="5"/>
  <c r="M12" i="5"/>
  <c r="P12" i="5" s="1"/>
  <c r="N11" i="5"/>
  <c r="O12" i="5" l="1"/>
  <c r="A14" i="5"/>
  <c r="B13" i="5"/>
  <c r="M13" i="5"/>
  <c r="P13" i="5" s="1"/>
  <c r="N12" i="5"/>
  <c r="O13" i="5" l="1"/>
  <c r="A15" i="5"/>
  <c r="B14" i="5"/>
  <c r="M14" i="5"/>
  <c r="P14" i="5" s="1"/>
  <c r="N13" i="5"/>
  <c r="O14" i="5" l="1"/>
  <c r="A16" i="5"/>
  <c r="B15" i="5"/>
  <c r="M15" i="5"/>
  <c r="P15" i="5" s="1"/>
  <c r="N14" i="5"/>
  <c r="O15" i="5" l="1"/>
  <c r="A17" i="5"/>
  <c r="B16" i="5"/>
  <c r="M16" i="5"/>
  <c r="P16" i="5" s="1"/>
  <c r="N15" i="5"/>
  <c r="O16" i="5" l="1"/>
  <c r="A18" i="5"/>
  <c r="B17" i="5"/>
  <c r="M17" i="5"/>
  <c r="P17" i="5" s="1"/>
  <c r="N16" i="5"/>
  <c r="O17" i="5" l="1"/>
  <c r="A19" i="5"/>
  <c r="B18" i="5"/>
  <c r="M18" i="5"/>
  <c r="P18" i="5" s="1"/>
  <c r="N17" i="5"/>
  <c r="O18" i="5" l="1"/>
  <c r="A20" i="5"/>
  <c r="B19" i="5"/>
  <c r="M19" i="5"/>
  <c r="P19" i="5" s="1"/>
  <c r="N18" i="5"/>
  <c r="O19" i="5" l="1"/>
  <c r="A21" i="5"/>
  <c r="B20" i="5"/>
  <c r="M20" i="5"/>
  <c r="P20" i="5" s="1"/>
  <c r="N19" i="5"/>
  <c r="O20" i="5" l="1"/>
  <c r="A22" i="5"/>
  <c r="B21" i="5"/>
  <c r="M21" i="5"/>
  <c r="P21" i="5" s="1"/>
  <c r="N20" i="5"/>
  <c r="O21" i="5" l="1"/>
  <c r="A23" i="5"/>
  <c r="B22" i="5"/>
  <c r="M22" i="5"/>
  <c r="P22" i="5" s="1"/>
  <c r="N21" i="5"/>
  <c r="O22" i="5" l="1"/>
  <c r="A24" i="5"/>
  <c r="B23" i="5"/>
  <c r="M23" i="5"/>
  <c r="P23" i="5" s="1"/>
  <c r="N22" i="5"/>
  <c r="O23" i="5" l="1"/>
  <c r="A25" i="5"/>
  <c r="B24" i="5"/>
  <c r="M24" i="5"/>
  <c r="P24" i="5" s="1"/>
  <c r="N23" i="5"/>
  <c r="O24" i="5" l="1"/>
  <c r="A26" i="5"/>
  <c r="B25" i="5"/>
  <c r="M25" i="5"/>
  <c r="P25" i="5" s="1"/>
  <c r="N24" i="5"/>
  <c r="O25" i="5" l="1"/>
  <c r="A27" i="5"/>
  <c r="B26" i="5"/>
  <c r="M26" i="5"/>
  <c r="P26" i="5" s="1"/>
  <c r="N25" i="5"/>
  <c r="O26" i="5" l="1"/>
  <c r="A28" i="5"/>
  <c r="B27" i="5"/>
  <c r="M27" i="5"/>
  <c r="P27" i="5" s="1"/>
  <c r="N26" i="5"/>
  <c r="O27" i="5" l="1"/>
  <c r="A29" i="5"/>
  <c r="B28" i="5"/>
  <c r="M28" i="5"/>
  <c r="P28" i="5" s="1"/>
  <c r="N27" i="5"/>
  <c r="O28" i="5" l="1"/>
  <c r="A30" i="5"/>
  <c r="B29" i="5"/>
  <c r="M29" i="5"/>
  <c r="P29" i="5" s="1"/>
  <c r="N28" i="5"/>
  <c r="O29" i="5" l="1"/>
  <c r="A31" i="5"/>
  <c r="A32" i="5" s="1"/>
  <c r="B32" i="5" s="1"/>
  <c r="B30" i="5"/>
  <c r="M30" i="5"/>
  <c r="P30" i="5" s="1"/>
  <c r="N29" i="5"/>
  <c r="O30" i="5" l="1"/>
  <c r="B31" i="5"/>
  <c r="M31" i="5"/>
  <c r="P31" i="5" s="1"/>
  <c r="N30" i="5"/>
  <c r="O31" i="5" l="1"/>
  <c r="M32" i="5"/>
  <c r="P32" i="5" s="1"/>
  <c r="N31" i="5"/>
  <c r="O32" i="5" l="1"/>
  <c r="N3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F85C05-92E1-4577-A18A-DEBDE019EEED}" keepAlive="1" name="查詢 - resource" description="與活頁簿中 'resource' 查詢的連接。" type="5" refreshedVersion="8" background="1" saveData="1">
    <dbPr connection="Provider=Microsoft.Mashup.OleDb.1;Data Source=$Workbook$;Location=resource;Extended Properties=&quot;&quot;" command="SELECT * FROM [resour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<sst xmlns="http://schemas.openxmlformats.org/spreadsheetml/2006/main" count="6796" uniqueCount="259">
  <si>
    <t>日期</t>
  </si>
  <si>
    <t>星期</t>
  </si>
  <si>
    <t>帳號</t>
  </si>
  <si>
    <t>日班</t>
  </si>
  <si>
    <t>密碼</t>
  </si>
  <si>
    <t>值日</t>
  </si>
  <si>
    <t>姓名</t>
  </si>
  <si>
    <t>輪休</t>
  </si>
  <si>
    <t>局補</t>
  </si>
  <si>
    <t>請休</t>
  </si>
  <si>
    <t>小時假</t>
  </si>
  <si>
    <t>休息</t>
  </si>
  <si>
    <t>日假</t>
  </si>
  <si>
    <t>月輪休</t>
  </si>
  <si>
    <t>婚假</t>
    <phoneticPr fontId="1" type="noConversion"/>
  </si>
  <si>
    <t>日假</t>
    <phoneticPr fontId="1" type="noConversion"/>
  </si>
  <si>
    <t>班別</t>
    <phoneticPr fontId="1" type="noConversion"/>
  </si>
  <si>
    <t>1.輸入基本資料</t>
    <phoneticPr fontId="1" type="noConversion"/>
  </si>
  <si>
    <t>當年</t>
    <phoneticPr fontId="1" type="noConversion"/>
  </si>
  <si>
    <t>當月</t>
    <phoneticPr fontId="1" type="noConversion"/>
  </si>
  <si>
    <t>v1：</t>
  </si>
  <si>
    <t>------------------------------------------</t>
  </si>
  <si>
    <t>v1.38：</t>
  </si>
  <si>
    <t>v3.14：</t>
  </si>
  <si>
    <t>v3.141：</t>
  </si>
  <si>
    <t>v3.1415：</t>
  </si>
  <si>
    <t>新增空白假別可跳過，直到本月最後一日</t>
  </si>
  <si>
    <t>v3.14159：</t>
  </si>
  <si>
    <t>v4..</t>
    <phoneticPr fontId="1" type="noConversion"/>
  </si>
  <si>
    <t>自己實驗，無明顯優化，無發布</t>
    <phoneticPr fontId="1" type="noConversion"/>
  </si>
  <si>
    <t>組別</t>
    <phoneticPr fontId="1" type="noConversion"/>
  </si>
  <si>
    <t>自訂假別</t>
    <phoneticPr fontId="1" type="noConversion"/>
  </si>
  <si>
    <t>輸入資料</t>
    <phoneticPr fontId="1" type="noConversion"/>
  </si>
  <si>
    <t>可填假別</t>
    <phoneticPr fontId="1" type="noConversion"/>
  </si>
  <si>
    <t>安檢1</t>
    <phoneticPr fontId="1" type="noConversion"/>
  </si>
  <si>
    <t>安檢2</t>
    <phoneticPr fontId="1" type="noConversion"/>
  </si>
  <si>
    <t>安檢3</t>
    <phoneticPr fontId="1" type="noConversion"/>
  </si>
  <si>
    <t>安檢4</t>
    <phoneticPr fontId="1" type="noConversion"/>
  </si>
  <si>
    <t>外勤A</t>
    <phoneticPr fontId="1" type="noConversion"/>
  </si>
  <si>
    <t>外勤B</t>
    <phoneticPr fontId="1" type="noConversion"/>
  </si>
  <si>
    <t xml:space="preserve">  外勤B外勤A安檢1      安檢2      安檢3      安檢4</t>
    <phoneticPr fontId="1" type="noConversion"/>
  </si>
  <si>
    <t>H2</t>
    <phoneticPr fontId="1" type="noConversion"/>
  </si>
  <si>
    <t>H3</t>
    <phoneticPr fontId="1" type="noConversion"/>
  </si>
  <si>
    <t>H4</t>
    <phoneticPr fontId="1" type="noConversion"/>
  </si>
  <si>
    <t>H5</t>
    <phoneticPr fontId="1" type="noConversion"/>
  </si>
  <si>
    <t>H6</t>
    <phoneticPr fontId="1" type="noConversion"/>
  </si>
  <si>
    <t>H7</t>
    <phoneticPr fontId="1" type="noConversion"/>
  </si>
  <si>
    <t>C2</t>
    <phoneticPr fontId="1" type="noConversion"/>
  </si>
  <si>
    <t>C32</t>
    <phoneticPr fontId="1" type="noConversion"/>
  </si>
  <si>
    <t>休起</t>
    <phoneticPr fontId="1" type="noConversion"/>
  </si>
  <si>
    <t>休迄</t>
    <phoneticPr fontId="1" type="noConversion"/>
  </si>
  <si>
    <t>D2</t>
    <phoneticPr fontId="1" type="noConversion"/>
  </si>
  <si>
    <t>D32</t>
    <phoneticPr fontId="1" type="noConversion"/>
  </si>
  <si>
    <t>E2</t>
    <phoneticPr fontId="1" type="noConversion"/>
  </si>
  <si>
    <t>E32</t>
    <phoneticPr fontId="1" type="noConversion"/>
  </si>
  <si>
    <t>假別1</t>
    <phoneticPr fontId="1" type="noConversion"/>
  </si>
  <si>
    <t>假別2</t>
    <phoneticPr fontId="1" type="noConversion"/>
  </si>
  <si>
    <t>B2</t>
    <phoneticPr fontId="1" type="noConversion"/>
  </si>
  <si>
    <t>B37</t>
    <phoneticPr fontId="1" type="noConversion"/>
  </si>
  <si>
    <t>H37</t>
    <phoneticPr fontId="1" type="noConversion"/>
  </si>
  <si>
    <t>內容1</t>
    <phoneticPr fontId="1" type="noConversion"/>
  </si>
  <si>
    <t>F37</t>
    <phoneticPr fontId="1" type="noConversion"/>
  </si>
  <si>
    <t>內容2</t>
    <phoneticPr fontId="1" type="noConversion"/>
  </si>
  <si>
    <t>I2</t>
    <phoneticPr fontId="1" type="noConversion"/>
  </si>
  <si>
    <t>L37</t>
    <phoneticPr fontId="1" type="noConversion"/>
  </si>
  <si>
    <t>…..</t>
    <phoneticPr fontId="1" type="noConversion"/>
  </si>
  <si>
    <t>小時假</t>
    <phoneticPr fontId="1" type="noConversion"/>
  </si>
  <si>
    <t>1.在有底色的格子定義名稱。</t>
    <phoneticPr fontId="1" type="noConversion"/>
  </si>
  <si>
    <t>2.依照勤務系統輸入的內容，在名稱右邊輸入內容。</t>
    <phoneticPr fontId="1" type="noConversion"/>
  </si>
  <si>
    <t>自訂假別說明：</t>
    <phoneticPr fontId="1" type="noConversion"/>
  </si>
  <si>
    <t>v3.141592：</t>
    <phoneticPr fontId="1" type="noConversion"/>
  </si>
  <si>
    <t>一點一滴累積讓這個功能更完整變得更好。</t>
    <phoneticPr fontId="1" type="noConversion"/>
  </si>
  <si>
    <t>可於Excel輸入介面definition_page輸入自訂假別</t>
  </si>
  <si>
    <t>假別輸入速度統一</t>
  </si>
  <si>
    <t>程式碼通用化，瘦身成功</t>
  </si>
  <si>
    <t>跳轉至基準表新增Expected Conditions wait(EC wait)，解決逾時無法正確定位的問題。</t>
    <phoneticPr fontId="1" type="noConversion"/>
  </si>
  <si>
    <t>新增檢查.xlsm檔案的選項</t>
    <phoneticPr fontId="1" type="noConversion"/>
  </si>
  <si>
    <t>新增跳過遇時數上限會點選警告並跳過</t>
    <phoneticPr fontId="1" type="noConversion"/>
  </si>
  <si>
    <t>Excel排版更新，可一頁看到要輸入的地方。</t>
  </si>
  <si>
    <t>Excel新增巨集可選擇分組再輸入。</t>
  </si>
  <si>
    <t>會掃瞄並刪除重複登打的時數。</t>
  </si>
  <si>
    <t>整合刪除功能，可於主程式切換成全部刪除模式。</t>
    <phoneticPr fontId="1" type="noConversion"/>
  </si>
  <si>
    <t>這也算是種發明吧(笑)，假別有：值日、日班、月輪休、補休、請休、輪休。</t>
    <phoneticPr fontId="1" type="noConversion"/>
  </si>
  <si>
    <t>修正跨日時數無法輸入錯誤。</t>
    <phoneticPr fontId="1" type="noConversion"/>
  </si>
  <si>
    <t>發現部分假別輸入較快。</t>
    <phoneticPr fontId="1" type="noConversion"/>
  </si>
  <si>
    <t>Excel月輪休重新命名為局補，比較符合大家的習慣。</t>
    <phoneticPr fontId="1" type="noConversion"/>
  </si>
  <si>
    <t>新增dos小黑窗內容提示</t>
    <phoneticPr fontId="1" type="noConversion"/>
  </si>
  <si>
    <t>2.選好組別，過去!</t>
    <phoneticPr fontId="1" type="noConversion"/>
  </si>
  <si>
    <t>感謝在編輯路上持續協助的人們，</t>
    <phoneticPr fontId="1" type="noConversion"/>
  </si>
  <si>
    <t>回報錯誤、給予反饋、給予想法，</t>
    <phoneticPr fontId="1" type="noConversion"/>
  </si>
  <si>
    <t>簡單的事重複做，你就是專家；重複的事情認真做，會變成贏家。</t>
    <phoneticPr fontId="1" type="noConversion"/>
  </si>
  <si>
    <t>但我覺得，</t>
    <phoneticPr fontId="1" type="noConversion"/>
  </si>
  <si>
    <t>重複的事情給電腦做，我才回得了家。</t>
    <phoneticPr fontId="1" type="noConversion"/>
  </si>
  <si>
    <t>Excel改名啦，檔案、分頁名稱更直觀，請問vvcd是什麼?</t>
    <phoneticPr fontId="1" type="noConversion"/>
  </si>
  <si>
    <t>程式函式化，明確定義主程式段，優化程式碼可讀性。</t>
    <phoneticPr fontId="1" type="noConversion"/>
  </si>
  <si>
    <t>幫程式加了一個圖示，希望用的人都覺得很讚。</t>
    <phoneticPr fontId="1" type="noConversion"/>
  </si>
  <si>
    <t>開發歷程也整理到Excel內了，歡迎大家來看編者的碎碎念。(真是赤裸)</t>
    <phoneticPr fontId="1" type="noConversion"/>
  </si>
  <si>
    <t>做完第五代後往前看，距離2023.12也一年多了(現在是2025.02)，</t>
    <phoneticPr fontId="1" type="noConversion"/>
  </si>
  <si>
    <t>隨著功能優化，程式體積也膨脹了1倍多，</t>
    <phoneticPr fontId="1" type="noConversion"/>
  </si>
  <si>
    <t>這也算是一種良性通膨吧。</t>
    <phoneticPr fontId="1" type="noConversion"/>
  </si>
  <si>
    <t>v5.1</t>
    <phoneticPr fontId="1" type="noConversion"/>
  </si>
  <si>
    <t>v5</t>
    <phoneticPr fontId="1" type="noConversion"/>
  </si>
  <si>
    <t>打基準表.exe</t>
    <phoneticPr fontId="1" type="noConversion"/>
  </si>
  <si>
    <t>4.基準表Go!</t>
    <phoneticPr fontId="1" type="noConversion"/>
  </si>
  <si>
    <t>詳細說明</t>
    <phoneticPr fontId="1" type="noConversion"/>
  </si>
  <si>
    <t>做的時候有種指揮中心出題，我解題的感覺，</t>
    <phoneticPr fontId="1" type="noConversion"/>
  </si>
  <si>
    <t>AI是神燈精靈，而且可以不只滿足我3個對程式的要求。</t>
    <phoneticPr fontId="1" type="noConversion"/>
  </si>
  <si>
    <t>模式</t>
    <phoneticPr fontId="1" type="noConversion"/>
  </si>
  <si>
    <t>A</t>
    <phoneticPr fontId="1" type="noConversion"/>
  </si>
  <si>
    <t>3.補上休假、訓練</t>
    <phoneticPr fontId="1" type="noConversion"/>
  </si>
  <si>
    <t>3.如果該勤務不是固定時段，輸入【A】【B】可帶入日曆頁的時段起迄。</t>
    <phoneticPr fontId="1" type="noConversion"/>
  </si>
  <si>
    <t>新增值日第二時段，指揮中心規定可能一天要排2+彈性休息。</t>
    <phoneticPr fontId="1" type="noConversion"/>
  </si>
  <si>
    <t>時段A起</t>
    <phoneticPr fontId="1" type="noConversion"/>
  </si>
  <si>
    <t>時段A迄</t>
    <phoneticPr fontId="1" type="noConversion"/>
  </si>
  <si>
    <t>時段B起</t>
    <phoneticPr fontId="1" type="noConversion"/>
  </si>
  <si>
    <t>時段B迄</t>
    <phoneticPr fontId="1" type="noConversion"/>
  </si>
  <si>
    <t>三仙就歸洞啦</t>
    <phoneticPr fontId="1" type="noConversion"/>
  </si>
  <si>
    <t>可以從Excel內按鈕執行，因涉及檔名問題，以後在此更新版本號碼了。</t>
    <phoneticPr fontId="1" type="noConversion"/>
  </si>
  <si>
    <t>聯絡：zhandehzong861131@gmail.com</t>
    <phoneticPr fontId="1" type="noConversion"/>
  </si>
  <si>
    <t>4.目前【時段B】隱藏在F、G欄，取消隱藏即可使用。</t>
    <phoneticPr fontId="1" type="noConversion"/>
  </si>
  <si>
    <t>安檢在勤</t>
    <phoneticPr fontId="1" type="noConversion"/>
  </si>
  <si>
    <t>安檢補休</t>
    <phoneticPr fontId="1" type="noConversion"/>
  </si>
  <si>
    <t>公假</t>
    <phoneticPr fontId="1" type="noConversion"/>
  </si>
  <si>
    <t>休息</t>
    <phoneticPr fontId="1" type="noConversion"/>
  </si>
  <si>
    <t>Date</t>
  </si>
  <si>
    <t>name</t>
  </si>
  <si>
    <t>isHoliday</t>
  </si>
  <si>
    <t>holidayCategory</t>
  </si>
  <si>
    <t>description</t>
  </si>
  <si>
    <t>中華民國開國紀念日</t>
  </si>
  <si>
    <t>是</t>
  </si>
  <si>
    <t>放假之紀念日及節日</t>
  </si>
  <si>
    <t>全國各機關學校放假一日。</t>
  </si>
  <si>
    <t/>
  </si>
  <si>
    <t>星期六、星期日</t>
  </si>
  <si>
    <t>農曆除夕</t>
  </si>
  <si>
    <t>全國各機關學校放假一日，適逢星期六，於二月十三日補假一日。</t>
  </si>
  <si>
    <t>春節</t>
  </si>
  <si>
    <t>全國各機關學校於二月十日至二月十二日放假三日，二月十日適逢星期日，於二月十四日補假一日。</t>
  </si>
  <si>
    <t>補假</t>
  </si>
  <si>
    <t>調整放假日</t>
  </si>
  <si>
    <t>二月十五日全國各機關學校調整假，於二月二十三日補行上班一日。</t>
  </si>
  <si>
    <t>否</t>
  </si>
  <si>
    <t>補行上班日</t>
  </si>
  <si>
    <t>星期日</t>
  </si>
  <si>
    <t>和平紀念日</t>
  </si>
  <si>
    <t>婦女節</t>
  </si>
  <si>
    <t>紀念日及節日</t>
  </si>
  <si>
    <t>本日照常上班。</t>
  </si>
  <si>
    <t>青年節</t>
  </si>
  <si>
    <t>兒童節、民族掃墓節（清明節）</t>
  </si>
  <si>
    <t>全國各機關學校放假一日，適逢民族掃墓節，調整至四月五日放假。</t>
  </si>
  <si>
    <t>勞動節</t>
  </si>
  <si>
    <t>端午節</t>
  </si>
  <si>
    <t>中秋節</t>
  </si>
  <si>
    <t>九月二十日全國各機關學校調整放假，於九月十四日補行上班一日</t>
  </si>
  <si>
    <t>教師節</t>
  </si>
  <si>
    <t>適逢星期六放假一日</t>
  </si>
  <si>
    <t>國慶日</t>
  </si>
  <si>
    <t>臺灣光復節</t>
  </si>
  <si>
    <t>國父誕辰紀念日(中華文化復興節)</t>
  </si>
  <si>
    <t>行憲紀念日</t>
  </si>
  <si>
    <t>全國各機關學校於一月三十一日至二月二日放假三日，二月一日及二月二日適逢星期六、星期日，分別於二月三日及二月四日補假一日。</t>
  </si>
  <si>
    <t>適逢星期六放假一日。</t>
  </si>
  <si>
    <t>兒童節</t>
  </si>
  <si>
    <t>民族掃墓節（清明節）</t>
  </si>
  <si>
    <t>適逢星期日放假一日</t>
  </si>
  <si>
    <t>全國各機關學校於二月十九日至二月二十一日放假三日，二月二十一日適逢星期六，於二月二十三日補假一日。</t>
  </si>
  <si>
    <t>全國各機關學校放假一日，適逢星期六，於二月二十七日補假一日。</t>
  </si>
  <si>
    <t>全國各機關學校放假一日，適逢星期六，於四月三日補假一日。</t>
  </si>
  <si>
    <t>全國各機關學校放假一日，適逢星期日，於四月六日補假一日。</t>
  </si>
  <si>
    <t>全國各機關學校放假一日，適逢星期六，於六月十九日補假一日。</t>
  </si>
  <si>
    <t>全國各機關學校放假一日，適逢星期日，於九月二十八日補假一日。</t>
  </si>
  <si>
    <t>全國各機關學校放假一日，適逢星期六，於十月九日補假一日。</t>
  </si>
  <si>
    <t>全國各機關學校放假一日，適逢星期日，於二月十一日補假一日，調整二月十二日為放假日，並於一月三十日補行上班。</t>
  </si>
  <si>
    <t>全國各機關學校於二月八日至二月十日放假三日。</t>
  </si>
  <si>
    <t>全國各機關學校放假一日，適逢星期日，於二月二十九日補假一日。</t>
  </si>
  <si>
    <t>全國各機關學校放假一日(兒童節與民族掃墓節同一日時，於前一日放假，並於四月五日補假一日)。</t>
  </si>
  <si>
    <t>全國各機關學校放假一日，適逢星期四，調整六月十日為放假日，並於六月四日補行上班一日。</t>
  </si>
  <si>
    <t>全國各機關學校放假一日，適逢星期四，調整九月十六日為放假日，並於九月十日補行上班一日。</t>
  </si>
  <si>
    <t>全國各機關學校放假一日，適逢星期日，於一月二日補假一日。</t>
  </si>
  <si>
    <t>全國各機關學校於一月二十八日至一月三十日放假三日，其中春節初一、初二適逢星期六、日，分別於一月三十一日及二月一日補假一日。</t>
  </si>
  <si>
    <t>全國各機關學校放假一日，適逢星期二，調整二月二十七日為放假日，並於二月十八日補行上班一日。</t>
  </si>
  <si>
    <t>全國各機關學校放假一日(兒童節與民族掃墓節同一日時，於前一日即四月三日放假)。</t>
  </si>
  <si>
    <t>全國各機關學校放假一日，適逢星期二，調整五月二十九日為放假日，並於六月三日補行上班一日。</t>
  </si>
  <si>
    <t>全國各機關學校放假一日，適逢星期二，調整十月九日為放假日，並於九月三十日補行上班一日。</t>
  </si>
  <si>
    <t>全國各機關學校放假一日</t>
  </si>
  <si>
    <t>全國各機關學校於二月十六日至二月十八日放假三日，其中春節初二、初三適逢星期六、日，分別於二月十九日及二月二十日各補假一日。</t>
  </si>
  <si>
    <t>全國各機關學校放假一日，適逢星期四，調整四月六日為放假日，並於三月三十一日補行上班一日。</t>
  </si>
  <si>
    <t>全國各機關學校於二月五日至二月七日放假三日，其中二月七日適逢星期四，調整二月八日為放假日，並於一月十九日補行上班一日。</t>
  </si>
  <si>
    <t>全國各機關學校放假一日，適逢星期四，調整三月一日為放假日，並於二月二十三日補行上班一日。</t>
  </si>
  <si>
    <t>全國各機關學校放假一日，適逢星期四，調整十月十一日為放假日，並於十月五日補行上班一日。</t>
  </si>
  <si>
    <t>全國各機關學校放假一日，前一日(一月二十三日)功能性調整放假，並於二月十五日補行上班一日。</t>
  </si>
  <si>
    <t>全國各機關學校於一月二十五日至一月二十七日放假三日，其中春節初一、初二適逢星期六、日，分別於一月二十八日及一月二十九日各補假一日。</t>
  </si>
  <si>
    <t>全國各機關學校放假一日，兒童節與民族掃墓節同一日且逢星期六，於四月二日補假一日、四月三日放假一日。</t>
  </si>
  <si>
    <t>全國各機關學校放假一日，適逢星期四，調整六月二十六日為放假日，並於六月二十日補行上班一日。</t>
  </si>
  <si>
    <t>全國各機關學校放假一日，適逢星期四，調整十月二日為放假日，並於九月二十六日補行上班一日。</t>
  </si>
  <si>
    <t>全國各機關學校放假一日，前一日(二月十日)功能性調整放假，並於二月二十日補行上班一日。</t>
  </si>
  <si>
    <t>全國各機關學校於二月十二日至二月十四日放假三日，其中春節初二、初三適逢星期六、星期日，分別於二月十五日及二月十六日各補假一日。</t>
  </si>
  <si>
    <t>全國各機關學校放假一日，適逢星期日，於三月一日補假一日。</t>
  </si>
  <si>
    <t>全國各機關學校放假一日，兒童節與民族掃墓節同一日且逢星期日，分別於四月二日及四月五日各補假一日。</t>
  </si>
  <si>
    <t>全國各機關學校放假一日，適逢星期二，調整九月二十日為放假日，並於九月十一日補行上班一日。</t>
  </si>
  <si>
    <t>全國各機關學校放假一日，適逢星期日，於十月十一日補假一日。</t>
  </si>
  <si>
    <t>全國各機關學校放假一日，適逢星期六，於一一○年十二月三十一日補假一日。</t>
  </si>
  <si>
    <t>全國各機關學校於二月一日至二月三日放假三日，其中春節初三(二月三日)適逢星期四，調整二月四日為放假日，並於一月二十二日補行上班一日。</t>
  </si>
  <si>
    <t>全國各機關學校放假一日，適逢星期六，於九月九日補假一日。</t>
  </si>
  <si>
    <t>全國各機關學校放假一日，適逢星期六，於一月二十五日補假一日；小年夜(一月二十日)適逢星期五，調整為放假日，並於一月七日補行上班一日。</t>
  </si>
  <si>
    <t>全國各機關學校於一月二十二日至一月二十四日放假三日，其中春節初一適逢星期日，於一月二十六日補假一日；一月二十七日調整放假，並於二月四日補行上班一日。</t>
  </si>
  <si>
    <t>全國各機關學校放假一日，適逢星期二，調整四月三日為放假日，並於三月二十五日補行上班一日。</t>
  </si>
  <si>
    <t>全國各機關學校放假一日，適逢星期四，調整六月二十三日為放假日，並於六月十七日補行上班一日。</t>
  </si>
  <si>
    <t>全國各機關學校放假一日，適逢星期二，調整十月九日為放假日，並於九月二十三日補行上班一日。</t>
  </si>
  <si>
    <t>全國各機關學校放假一日，小年夜(二月八日)適逢星期四，調整為放假日，並於二月十七日補行上班一日。</t>
  </si>
  <si>
    <t>全國各機關學校於二月十日至二月十二日放假三日，其中春節初一、初二適逢星期六、星期日，分別於二月十三日及二月十四日各補假一日。</t>
  </si>
  <si>
    <t>兒童節及民族掃墓節</t>
  </si>
  <si>
    <t>全國各機關學校放假一日，兒童節與民族掃墓節同一日，於四月五日補假一日。</t>
  </si>
  <si>
    <t>全國各機關學校放假一日，小年夜(一月二十七日)適逢星期一，調整為放假日，並於二月八日補行上班一日。</t>
  </si>
  <si>
    <t>全國各機關學校於一月二十九日至一月三十一日放假三日。</t>
  </si>
  <si>
    <t>全國各機關學校放假一日，兒童節與民族掃墓節同一日，於四月三日補假一日。</t>
  </si>
  <si>
    <t>全國各機關學校放假一日，適逢星期六，於5月30日補假一日。</t>
  </si>
  <si>
    <t>孔子誕辰紀念日/教師節</t>
  </si>
  <si>
    <t>全國各機關學校放假一日，適逢星期日，於9月29日補假一日。</t>
  </si>
  <si>
    <t>臺灣光復暨金門古寧頭大捷紀念日</t>
  </si>
  <si>
    <t>全國各機關學校放假一日，適逢星期六，於10月24日補假一日。</t>
  </si>
  <si>
    <t>小年夜</t>
  </si>
  <si>
    <t>全國各機關學校放假一日，適逢星期日，於2月20日補假一日。</t>
  </si>
  <si>
    <t xml:space="preserve"> </t>
  </si>
  <si>
    <t>全國各機關學校放假一日，適逢星期六，於2月27日補假一日。</t>
  </si>
  <si>
    <t>全國各機關學校放假一日，適逢星期六，於4月3日補假一日。</t>
  </si>
  <si>
    <t>清明節</t>
  </si>
  <si>
    <t>全國各機關學校放假一日，適逢星期日，於4月6日補假一日。</t>
  </si>
  <si>
    <t>全國各機關學校放假一日，適逢星期六，於10月9日補假一日。</t>
  </si>
  <si>
    <t>全國各機關學校放假一日，適逢星期日，於10月26日補假一日。</t>
  </si>
  <si>
    <t>國定假日/補假</t>
    <phoneticPr fontId="1" type="noConversion"/>
  </si>
  <si>
    <t>家庭照顧假</t>
    <phoneticPr fontId="1" type="noConversion"/>
  </si>
  <si>
    <t>身心調適假</t>
    <phoneticPr fontId="1" type="noConversion"/>
  </si>
  <si>
    <t>1.輸入Excel內黃底部份，包含帳號、密碼、姓名、年、月。
2.按【&lt;&lt;過去!!&lt;&lt;】。
3.輸入勤休(額外請假、公假等)，若有勤務表排定的休息時段，另外再輸入時段起迄。
4.按【基準表Go!】。
註1：若初始假別不敷使用可使用自訂假別欄位，例如：婚喪假、訓練等。
註2：公假、公假(不算服勤時數)、公出、公差須填假別才能登打系統。</t>
    <phoneticPr fontId="1" type="noConversion"/>
  </si>
  <si>
    <t>……</t>
    <phoneticPr fontId="1" type="noConversion"/>
  </si>
  <si>
    <t>公假</t>
  </si>
  <si>
    <t>直接登打</t>
    <phoneticPr fontId="1" type="noConversion"/>
  </si>
  <si>
    <t>清完再打</t>
    <phoneticPr fontId="1" type="noConversion"/>
  </si>
  <si>
    <t>補休-安檢</t>
    <phoneticPr fontId="1" type="noConversion"/>
  </si>
  <si>
    <t>補休-外勤</t>
    <phoneticPr fontId="1" type="noConversion"/>
  </si>
  <si>
    <t>補休</t>
    <phoneticPr fontId="1" type="noConversion"/>
  </si>
  <si>
    <t>常用假別</t>
    <phoneticPr fontId="1" type="noConversion"/>
  </si>
  <si>
    <t>一筆都不留</t>
    <phoneticPr fontId="1" type="noConversion"/>
  </si>
  <si>
    <t>安檢3</t>
  </si>
  <si>
    <t>…</t>
    <phoneticPr fontId="1" type="noConversion"/>
  </si>
  <si>
    <t>一筆都不留</t>
  </si>
  <si>
    <t>..</t>
    <phoneticPr fontId="1" type="noConversion"/>
  </si>
  <si>
    <t>集訓</t>
    <phoneticPr fontId="1" type="noConversion"/>
  </si>
  <si>
    <t>集訓外宿</t>
    <phoneticPr fontId="1" type="noConversion"/>
  </si>
  <si>
    <t>….</t>
    <phoneticPr fontId="1" type="noConversion"/>
  </si>
  <si>
    <t>.</t>
    <phoneticPr fontId="1" type="noConversion"/>
  </si>
  <si>
    <t>備註
(公假.差.出必填)</t>
    <phoneticPr fontId="1" type="noConversion"/>
  </si>
  <si>
    <t>v6</t>
    <phoneticPr fontId="1" type="noConversion"/>
  </si>
  <si>
    <t>自動帶入國定假日，不用再想這個月時數怎麼多8小時了。</t>
    <phoneticPr fontId="1" type="noConversion"/>
  </si>
  <si>
    <t>新增時數重疊檢核，會提醒要修正內容。</t>
    <phoneticPr fontId="1" type="noConversion"/>
  </si>
  <si>
    <t>現在登打完會回到基準表大表，方便查看打完的結果。</t>
    <phoneticPr fontId="1" type="noConversion"/>
  </si>
  <si>
    <t>姓名定位方式修正，避免有時候點不到姓名無法開啟登打的視窗。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</si>
</sst>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[$-404]aaa;@"/>
    <numFmt numFmtId="178" formatCode="00"/>
  </numFmts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sz val="14"/>
      <color rgb="FF000000"/>
      <name val="Microsoft JhengHei Light"/>
      <family val="2"/>
      <charset val="136"/>
    </font>
    <font>
      <sz val="2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B49E3"/>
        <bgColor indexed="64"/>
      </patternFill>
    </fill>
    <fill>
      <patternFill patternType="solid">
        <fgColor rgb="FFFBFF61"/>
        <bgColor indexed="64"/>
      </patternFill>
    </fill>
    <fill>
      <patternFill patternType="solid">
        <fgColor rgb="FFC2C2FA"/>
        <bgColor indexed="64"/>
      </patternFill>
    </fill>
    <fill>
      <patternFill patternType="solid">
        <fgColor rgb="FFAFF39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dotted">
        <color auto="1"/>
      </top>
      <bottom style="thin">
        <color indexed="64"/>
      </bottom>
      <diagonal/>
    </border>
    <border>
      <left/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2" xfId="0" applyFont="1" applyBorder="1"/>
    <xf numFmtId="0" fontId="2" fillId="2" borderId="2" xfId="0" applyFont="1" applyFill="1" applyBorder="1"/>
    <xf numFmtId="0" fontId="2" fillId="2" borderId="4" xfId="0" applyFont="1" applyFill="1" applyBorder="1"/>
    <xf numFmtId="0" fontId="2" fillId="0" borderId="3" xfId="0" applyFont="1" applyBorder="1"/>
    <xf numFmtId="176" fontId="2" fillId="0" borderId="2" xfId="0" applyNumberFormat="1" applyFont="1" applyBorder="1" applyAlignment="1">
      <alignment horizontal="center"/>
    </xf>
    <xf numFmtId="177" fontId="2" fillId="0" borderId="2" xfId="0" applyNumberFormat="1" applyFont="1" applyBorder="1" applyAlignment="1">
      <alignment horizontal="center"/>
    </xf>
    <xf numFmtId="176" fontId="2" fillId="0" borderId="0" xfId="0" applyNumberFormat="1" applyFont="1" applyAlignment="1">
      <alignment horizontal="center"/>
    </xf>
    <xf numFmtId="0" fontId="2" fillId="3" borderId="0" xfId="0" applyFont="1" applyFill="1"/>
    <xf numFmtId="0" fontId="2" fillId="2" borderId="2" xfId="0" applyFont="1" applyFill="1" applyBorder="1" applyAlignment="1"/>
    <xf numFmtId="0" fontId="2" fillId="0" borderId="0" xfId="0" applyFont="1" applyAlignment="1"/>
    <xf numFmtId="0" fontId="2" fillId="0" borderId="0" xfId="0" applyFont="1"/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2" fillId="0" borderId="0" xfId="0" applyFont="1" applyFill="1"/>
    <xf numFmtId="0" fontId="4" fillId="0" borderId="0" xfId="0" applyFont="1" applyFill="1" applyAlignment="1">
      <alignment horizontal="center"/>
    </xf>
    <xf numFmtId="0" fontId="2" fillId="0" borderId="2" xfId="0" applyFont="1" applyFill="1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/>
    <xf numFmtId="0" fontId="2" fillId="0" borderId="0" xfId="0" applyFont="1" applyFill="1" applyBorder="1"/>
    <xf numFmtId="0" fontId="2" fillId="0" borderId="0" xfId="0" applyFont="1" applyBorder="1"/>
    <xf numFmtId="176" fontId="2" fillId="0" borderId="0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0" fontId="2" fillId="5" borderId="1" xfId="0" applyFont="1" applyFill="1" applyBorder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 applyFill="1" applyAlignment="1">
      <alignment horizontal="center"/>
    </xf>
    <xf numFmtId="0" fontId="2" fillId="11" borderId="2" xfId="0" applyFont="1" applyFill="1" applyBorder="1"/>
    <xf numFmtId="0" fontId="2" fillId="13" borderId="2" xfId="0" applyFont="1" applyFill="1" applyBorder="1"/>
    <xf numFmtId="0" fontId="2" fillId="14" borderId="1" xfId="0" applyFont="1" applyFill="1" applyBorder="1"/>
    <xf numFmtId="0" fontId="10" fillId="3" borderId="0" xfId="0" applyFont="1" applyFill="1" applyAlignment="1">
      <alignment horizontal="center" vertical="center" wrapText="1"/>
    </xf>
    <xf numFmtId="0" fontId="2" fillId="0" borderId="0" xfId="0" applyFont="1"/>
    <xf numFmtId="0" fontId="2" fillId="16" borderId="0" xfId="0" applyFont="1" applyFill="1"/>
    <xf numFmtId="0" fontId="2" fillId="17" borderId="1" xfId="0" applyFont="1" applyFill="1" applyBorder="1"/>
    <xf numFmtId="0" fontId="8" fillId="4" borderId="16" xfId="0" applyFont="1" applyFill="1" applyBorder="1" applyAlignment="1"/>
    <xf numFmtId="0" fontId="8" fillId="4" borderId="11" xfId="0" applyFont="1" applyFill="1" applyBorder="1" applyAlignment="1"/>
    <xf numFmtId="0" fontId="8" fillId="4" borderId="12" xfId="0" applyFont="1" applyFill="1" applyBorder="1" applyAlignment="1"/>
    <xf numFmtId="0" fontId="8" fillId="4" borderId="17" xfId="0" applyFont="1" applyFill="1" applyBorder="1" applyAlignment="1"/>
    <xf numFmtId="0" fontId="8" fillId="4" borderId="14" xfId="0" applyFont="1" applyFill="1" applyBorder="1" applyAlignment="1"/>
    <xf numFmtId="0" fontId="8" fillId="4" borderId="15" xfId="0" applyFont="1" applyFill="1" applyBorder="1" applyAlignment="1"/>
    <xf numFmtId="0" fontId="2" fillId="18" borderId="19" xfId="0" applyFont="1" applyFill="1" applyBorder="1"/>
    <xf numFmtId="0" fontId="2" fillId="18" borderId="20" xfId="0" applyFont="1" applyFill="1" applyBorder="1"/>
    <xf numFmtId="0" fontId="2" fillId="19" borderId="1" xfId="0" applyFont="1" applyFill="1" applyBorder="1"/>
    <xf numFmtId="0" fontId="2" fillId="20" borderId="1" xfId="0" applyFont="1" applyFill="1" applyBorder="1"/>
    <xf numFmtId="0" fontId="2" fillId="12" borderId="2" xfId="0" applyFont="1" applyFill="1" applyBorder="1"/>
    <xf numFmtId="0" fontId="2" fillId="0" borderId="0" xfId="0" applyFont="1"/>
    <xf numFmtId="0" fontId="2" fillId="0" borderId="0" xfId="0" applyFont="1"/>
    <xf numFmtId="0" fontId="2" fillId="0" borderId="0" xfId="0" applyFont="1"/>
    <xf numFmtId="0" fontId="6" fillId="18" borderId="18" xfId="0" applyFont="1" applyFill="1" applyBorder="1"/>
    <xf numFmtId="0" fontId="5" fillId="0" borderId="1" xfId="0" applyFont="1" applyBorder="1" applyAlignment="1">
      <alignment horizontal="center" vertical="center" wrapText="1"/>
    </xf>
    <xf numFmtId="176" fontId="5" fillId="0" borderId="1" xfId="0" applyNumberFormat="1" applyFont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/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/>
    <xf numFmtId="0" fontId="0" fillId="0" borderId="0" xfId="0" applyNumberFormat="1"/>
    <xf numFmtId="0" fontId="2" fillId="0" borderId="0" xfId="0" applyFont="1"/>
    <xf numFmtId="178" fontId="2" fillId="0" borderId="0" xfId="0" applyNumberFormat="1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left" vertical="center" wrapText="1"/>
    </xf>
    <xf numFmtId="0" fontId="8" fillId="4" borderId="10" xfId="0" applyFont="1" applyFill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8" fillId="4" borderId="13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6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15" borderId="7" xfId="0" applyFont="1" applyFill="1" applyBorder="1" applyAlignment="1">
      <alignment horizontal="left"/>
    </xf>
    <xf numFmtId="0" fontId="2" fillId="15" borderId="8" xfId="0" applyFont="1" applyFill="1" applyBorder="1" applyAlignment="1">
      <alignment horizontal="left"/>
    </xf>
    <xf numFmtId="0" fontId="2" fillId="15" borderId="9" xfId="0" applyFont="1" applyFill="1" applyBorder="1" applyAlignment="1">
      <alignment horizontal="center"/>
    </xf>
    <xf numFmtId="0" fontId="2" fillId="15" borderId="5" xfId="0" applyFont="1" applyFill="1" applyBorder="1" applyAlignment="1">
      <alignment horizontal="left"/>
    </xf>
    <xf numFmtId="0" fontId="2" fillId="15" borderId="6" xfId="0" applyFont="1" applyFill="1" applyBorder="1" applyAlignment="1">
      <alignment horizontal="left"/>
    </xf>
    <xf numFmtId="178" fontId="2" fillId="15" borderId="9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2" fillId="21" borderId="1" xfId="0" applyFont="1" applyFill="1" applyBorder="1"/>
    <xf numFmtId="0" fontId="2" fillId="18" borderId="1" xfId="0" applyFont="1" applyFill="1" applyBorder="1"/>
    <xf numFmtId="0" fontId="2" fillId="22" borderId="0" xfId="0" applyFont="1" applyFill="1"/>
    <xf numFmtId="0" fontId="2" fillId="23" borderId="0" xfId="0" applyFont="1" applyFill="1"/>
  </cellXfs>
  <cellStyles count="1">
    <cellStyle name="一般" xfId="0" builtinId="0"/>
  </cellStyles>
  <dxfs count="178">
    <dxf>
      <fill>
        <patternFill>
          <bgColor theme="8" tint="-0.24994659260841701"/>
        </patternFill>
      </fill>
    </dxf>
    <dxf>
      <fill>
        <patternFill>
          <bgColor rgb="FFEB49E3"/>
        </patternFill>
      </fill>
    </dxf>
    <dxf>
      <fill>
        <patternFill>
          <bgColor theme="9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499984740745262"/>
        </patternFill>
      </fill>
    </dxf>
    <dxf>
      <fill>
        <patternFill>
          <bgColor rgb="FFEB49E3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EB49E3"/>
        </patternFill>
      </fill>
    </dxf>
    <dxf>
      <fill>
        <patternFill>
          <bgColor theme="9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00FF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00FF"/>
        </patternFill>
      </fill>
    </dxf>
    <dxf>
      <fill>
        <patternFill>
          <bgColor theme="9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B49E3"/>
      <color rgb="FFFBFF61"/>
      <color rgb="FFAFF397"/>
      <color rgb="FF83ED5D"/>
      <color rgb="FFC2C2FA"/>
      <color rgb="FFB198F0"/>
      <color rgb="FF6666FF"/>
      <color rgb="FFFCA752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8</xdr:row>
      <xdr:rowOff>104775</xdr:rowOff>
    </xdr:from>
    <xdr:to>
      <xdr:col>10</xdr:col>
      <xdr:colOff>952500</xdr:colOff>
      <xdr:row>11</xdr:row>
      <xdr:rowOff>85725</xdr:rowOff>
    </xdr:to>
    <xdr:grpSp>
      <xdr:nvGrpSpPr>
        <xdr:cNvPr id="5" name="群組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210175" y="1895475"/>
          <a:ext cx="1905000" cy="581025"/>
          <a:chOff x="4343400" y="1800225"/>
          <a:chExt cx="1905000" cy="58102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343400" y="1800225"/>
            <a:ext cx="1905000" cy="581025"/>
          </a:xfrm>
          <a:prstGeom prst="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 bwMode="auto">
              <a:xfrm>
                <a:off x="4476750" y="1933576"/>
                <a:ext cx="1647825" cy="3143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54864" rIns="64008" bIns="54864" anchor="ctr" upright="1"/>
              <a:lstStyle/>
              <a:p>
                <a:pPr algn="ctr" rtl="0">
                  <a:defRPr sz="1000"/>
                </a:pPr>
                <a:r>
                  <a:rPr lang="zh-TW" altLang="en-US" sz="1400" b="0" i="0" u="none" strike="noStrike" baseline="0">
                    <a:solidFill>
                      <a:srgbClr val="000000"/>
                    </a:solidFill>
                    <a:latin typeface="Microsoft JhengHei Light"/>
                    <a:ea typeface="Microsoft JhengHei Light"/>
                  </a:rPr>
                  <a:t>&lt;&lt;過去!!&lt;&lt;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190500</xdr:colOff>
      <xdr:row>24</xdr:row>
      <xdr:rowOff>66675</xdr:rowOff>
    </xdr:from>
    <xdr:to>
      <xdr:col>10</xdr:col>
      <xdr:colOff>876300</xdr:colOff>
      <xdr:row>27</xdr:row>
      <xdr:rowOff>47625</xdr:rowOff>
    </xdr:to>
    <xdr:grpSp>
      <xdr:nvGrpSpPr>
        <xdr:cNvPr id="6" name="群組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133975" y="5057775"/>
          <a:ext cx="1905000" cy="581025"/>
          <a:chOff x="4343400" y="1800225"/>
          <a:chExt cx="1905000" cy="581025"/>
        </a:xfrm>
      </xdr:grpSpPr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343400" y="1800225"/>
            <a:ext cx="1905000" cy="581025"/>
          </a:xfrm>
          <a:prstGeom prst="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4476750" y="1933576"/>
                <a:ext cx="1647825" cy="3143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54864" rIns="64008" bIns="54864" anchor="ctr" upright="1"/>
              <a:lstStyle/>
              <a:p>
                <a:pPr algn="ctr" rtl="0">
                  <a:defRPr sz="1000"/>
                </a:pPr>
                <a:r>
                  <a:rPr lang="zh-TW" altLang="en-US" sz="1400" b="0" i="0" u="none" strike="noStrike" baseline="0">
                    <a:solidFill>
                      <a:srgbClr val="000000"/>
                    </a:solidFill>
                    <a:latin typeface="Microsoft JhengHei Light"/>
                    <a:ea typeface="Microsoft JhengHei Light"/>
                  </a:rPr>
                  <a:t>基準表Go!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238125</xdr:colOff>
      <xdr:row>8</xdr:row>
      <xdr:rowOff>0</xdr:rowOff>
    </xdr:from>
    <xdr:to>
      <xdr:col>14</xdr:col>
      <xdr:colOff>4115341</xdr:colOff>
      <xdr:row>16</xdr:row>
      <xdr:rowOff>171697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5100" y="1866900"/>
          <a:ext cx="3877216" cy="177189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64731B01-2B63-488A-83D7-BEA87101D06A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name" tableColumnId="2"/>
      <queryTableField id="3" name="isHoliday" tableColumnId="3"/>
      <queryTableField id="4" name="holidayCategory" tableColumnId="4"/>
      <queryTableField id="5" name="description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2DEC30-DFE9-4380-AD44-23B149A7542F}" name="resource" displayName="resource" ref="A1:E1649" tableType="queryTable" totalsRowShown="0">
  <autoFilter ref="A1:E1649" xr:uid="{C32DEC30-DFE9-4380-AD44-23B149A7542F}"/>
  <tableColumns count="5">
    <tableColumn id="1" xr3:uid="{296D4CBD-4B6F-4F13-B0DA-A9EEA99A4030}" uniqueName="1" name="Date" queryTableFieldId="1"/>
    <tableColumn id="2" xr3:uid="{55573631-635A-42E9-AF62-77FAFF723A4D}" uniqueName="2" name="name" queryTableFieldId="2" dataDxfId="177"/>
    <tableColumn id="3" xr3:uid="{26E678BE-43E2-4CED-AC40-B14E39C2D5F1}" uniqueName="3" name="isHoliday" queryTableFieldId="3" dataDxfId="176"/>
    <tableColumn id="4" xr3:uid="{94AFD13F-2FBF-4C87-A798-4149CFB8E096}" uniqueName="4" name="holidayCategory" queryTableFieldId="4" dataDxfId="175"/>
    <tableColumn id="5" xr3:uid="{0A743066-A53B-4CCF-BB44-51B053790B26}" uniqueName="5" name="description" queryTableFieldId="5" dataDxfId="17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6AB0-EAE0-4BDC-8B5D-2875D0DEDA81}">
  <sheetPr codeName="工作表4">
    <tabColor theme="9" tint="0.59999389629810485"/>
  </sheetPr>
  <dimension ref="A1:U36"/>
  <sheetViews>
    <sheetView zoomScaleNormal="100" workbookViewId="0">
      <pane ySplit="1" topLeftCell="A2" activePane="bottomLeft" state="frozen"/>
      <selection pane="bottomLeft" activeCell="C2" sqref="C2:C32"/>
    </sheetView>
  </sheetViews>
  <sheetFormatPr defaultRowHeight="15.75" customHeight="1" x14ac:dyDescent="0.4"/>
  <cols>
    <col min="1" max="1" width="11.85546875" style="18" customWidth="1"/>
    <col min="2" max="2" width="11.85546875" style="7" customWidth="1"/>
    <col min="3" max="3" width="11.85546875" style="15" customWidth="1"/>
    <col min="4" max="5" width="5.85546875" style="11" customWidth="1"/>
    <col min="6" max="7" width="5.85546875" style="51" hidden="1" customWidth="1"/>
    <col min="8" max="8" width="17.640625" style="11" customWidth="1"/>
    <col min="9" max="9" width="9.140625" style="11" customWidth="1"/>
    <col min="10" max="11" width="18.28515625" style="11" customWidth="1"/>
    <col min="12" max="12" width="9.140625" style="11" customWidth="1"/>
    <col min="13" max="13" width="11.85546875" style="18" customWidth="1"/>
    <col min="14" max="14" width="11.85546875" style="7" customWidth="1"/>
    <col min="15" max="15" width="11.85546875" style="15" customWidth="1"/>
    <col min="16" max="16" width="22.5" style="11" bestFit="1" customWidth="1"/>
    <col min="17" max="17" width="9.140625" style="11" customWidth="1"/>
    <col min="18" max="18" width="45.140625" style="11" customWidth="1"/>
    <col min="19" max="16384" width="9.140625" style="11"/>
  </cols>
  <sheetData>
    <row r="1" spans="1:20" s="59" customFormat="1" ht="30.75" x14ac:dyDescent="0.45">
      <c r="A1" s="56" t="s">
        <v>0</v>
      </c>
      <c r="B1" s="57" t="s">
        <v>1</v>
      </c>
      <c r="C1" s="58" t="s">
        <v>16</v>
      </c>
      <c r="D1" s="55" t="s">
        <v>112</v>
      </c>
      <c r="E1" s="55" t="s">
        <v>113</v>
      </c>
      <c r="F1" s="55" t="s">
        <v>114</v>
      </c>
      <c r="G1" s="55" t="s">
        <v>115</v>
      </c>
      <c r="H1" s="62" t="s">
        <v>253</v>
      </c>
      <c r="J1" s="79" t="s">
        <v>32</v>
      </c>
      <c r="K1" s="79"/>
      <c r="M1" s="56" t="s">
        <v>0</v>
      </c>
      <c r="N1" s="57" t="s">
        <v>1</v>
      </c>
      <c r="O1" s="58" t="s">
        <v>16</v>
      </c>
      <c r="P1" s="59" t="s">
        <v>232</v>
      </c>
      <c r="R1" s="60" t="s">
        <v>104</v>
      </c>
    </row>
    <row r="2" spans="1:20" ht="15.75" customHeight="1" x14ac:dyDescent="0.4">
      <c r="A2" s="5">
        <f>DATE($J$5,$J$6,1)</f>
        <v>46023</v>
      </c>
      <c r="B2" s="6">
        <f>IF(A2=" "," ",WEEKDAY(A2))</f>
        <v>5</v>
      </c>
      <c r="C2" s="17"/>
      <c r="D2" s="1"/>
      <c r="E2" s="1"/>
      <c r="F2" s="1"/>
      <c r="G2" s="1"/>
      <c r="H2" s="1"/>
      <c r="I2" s="11" t="s">
        <v>2</v>
      </c>
      <c r="J2" s="83"/>
      <c r="K2" s="84"/>
      <c r="M2" s="5">
        <f>DATE($J$5,$J$6,1)</f>
        <v>46023</v>
      </c>
      <c r="N2" s="6">
        <f>IF(M2=" "," ",WEEKDAY(M2))</f>
        <v>5</v>
      </c>
      <c r="O2" s="17" t="str">
        <f>IFERROR(
    IF(
        IFERROR(FIND("安檢",$J$7),0),
        IF(
            MOD(_xlfn.DAYS(M2+2,FIND($J$7,假別_設定區!$O$7)/9),4)&lt;1,
            "值日",
            IF(OR(
                  IFERROR(VLOOKUP(TEXT(M2,"yyyymmdd")*1,國定假日_web!$A:$C,3,0),"否")="是",
                  TEXT(M2,"mmdd")="0119"),
            "輪休","日班")
        ),
        IF(
            MOD(_xlfn.DAYS(M2,FIND($J$7,假別_設定區!$O$7)/3),2)&lt;1,
            "值日",
            "輪休"
        )
    ),
"")</f>
        <v>輪休</v>
      </c>
      <c r="P2" s="11" t="str">
        <f>IF(
    IFERROR(VLOOKUP(TEXT(M2,"yyyymmdd")*1,國定假日_web!$A:$D,3,0),"否")="是",VLOOKUP(TEXT(M2,"yyyymmdd")*1,國定假日_web!$A:$D,4,0),
    IF(TEXT(M2,"mmdd")="0119","119消防節","")
   )</f>
        <v>放假之紀念日及節日</v>
      </c>
      <c r="R2" s="69" t="s">
        <v>235</v>
      </c>
    </row>
    <row r="3" spans="1:20" ht="15.75" customHeight="1" x14ac:dyDescent="0.4">
      <c r="A3" s="5">
        <f>IFERROR(IF(MONTH(A2+1)=$J$6,A2+1," "),"")</f>
        <v>46024</v>
      </c>
      <c r="B3" s="6">
        <f t="shared" ref="B3" si="0">IF(A3=" "," ",WEEKDAY(A3))</f>
        <v>6</v>
      </c>
      <c r="C3" s="17"/>
      <c r="D3" s="1"/>
      <c r="E3" s="1"/>
      <c r="F3" s="1"/>
      <c r="G3" s="1"/>
      <c r="H3" s="1"/>
      <c r="I3" s="11" t="s">
        <v>4</v>
      </c>
      <c r="J3" s="80"/>
      <c r="K3" s="81"/>
      <c r="M3" s="5">
        <f t="shared" ref="M3:M32" si="1">IFERROR(IF(MONTH(M2+1)=$J$6,M2+1," ")," ")</f>
        <v>46024</v>
      </c>
      <c r="N3" s="6">
        <f t="shared" ref="N3:N32" si="2">IF(M3=" "," ",WEEKDAY(M3))</f>
        <v>6</v>
      </c>
      <c r="O3" s="17" t="str">
        <f>IFERROR(
    IF(
        IFERROR(FIND("安檢",$J$7),0),
        IF(
            MOD(_xlfn.DAYS(M3+2,FIND($J$7,假別_設定區!$O$7)/9),4)&lt;1,
            "值日",
            IF(OR(
                  IFERROR(VLOOKUP(TEXT(M3,"yyyymmdd")*1,國定假日_web!$A:$C,3,0),"否")="是",
                  TEXT(M3,"mmdd")="0119"),
            "輪休","日班")
        ),
        IF(
            MOD(_xlfn.DAYS(M3,FIND($J$7,假別_設定區!$O$7)/3),2)&lt;1,
            "值日",
            "輪休"
        )
    ),
"")</f>
        <v>日班</v>
      </c>
      <c r="P3" s="64" t="str">
        <f>IF(
    IFERROR(VLOOKUP(TEXT(M3,"yyyymmdd")*1,國定假日_web!$A:$D,3,0),"否")="是",VLOOKUP(TEXT(M3,"yyyymmdd")*1,國定假日_web!$A:$D,4,0),
    IF(TEXT(M3,"mmdd")="0119","119消防節","")
   )</f>
        <v/>
      </c>
      <c r="R3" s="69"/>
      <c r="S3" s="64"/>
      <c r="T3" s="64"/>
    </row>
    <row r="4" spans="1:20" ht="15.75" customHeight="1" x14ac:dyDescent="0.4">
      <c r="A4" s="5">
        <f t="shared" ref="A4:A32" si="3">IFERROR(IF(MONTH(A3+1)=$J$6,A3+1," ")," ")</f>
        <v>46025</v>
      </c>
      <c r="B4" s="6">
        <f t="shared" ref="B4:B31" si="4">IF(A4=" "," ",WEEKDAY(A4))</f>
        <v>7</v>
      </c>
      <c r="C4" s="17"/>
      <c r="D4" s="1"/>
      <c r="E4" s="1"/>
      <c r="F4" s="1"/>
      <c r="G4" s="1"/>
      <c r="H4" s="1"/>
      <c r="I4" s="11" t="s">
        <v>6</v>
      </c>
      <c r="J4" s="80"/>
      <c r="K4" s="81"/>
      <c r="M4" s="5">
        <f t="shared" si="1"/>
        <v>46025</v>
      </c>
      <c r="N4" s="6">
        <f t="shared" si="2"/>
        <v>7</v>
      </c>
      <c r="O4" s="17" t="str">
        <f>IFERROR(
    IF(
        IFERROR(FIND("安檢",$J$7),0),
        IF(
            MOD(_xlfn.DAYS(M4+2,FIND($J$7,假別_設定區!$O$7)/9),4)&lt;1,
            "值日",
            IF(OR(
                  IFERROR(VLOOKUP(TEXT(M4,"yyyymmdd")*1,國定假日_web!$A:$C,3,0),"否")="是",
                  TEXT(M4,"mmdd")="0119"),
            "輪休","日班")
        ),
        IF(
            MOD(_xlfn.DAYS(M4,FIND($J$7,假別_設定區!$O$7)/3),2)&lt;1,
            "值日",
            "輪休"
        )
    ),
"")</f>
        <v>值日</v>
      </c>
      <c r="P4" s="64" t="str">
        <f>IF(
    IFERROR(VLOOKUP(TEXT(M4,"yyyymmdd")*1,國定假日_web!$A:$D,3,0),"否")="是",VLOOKUP(TEXT(M4,"yyyymmdd")*1,國定假日_web!$A:$D,4,0),
    IF(TEXT(M4,"mmdd")="0119","119消防節","")
   )</f>
        <v>星期六、星期日</v>
      </c>
      <c r="R4" s="69"/>
      <c r="S4" s="64"/>
      <c r="T4" s="64"/>
    </row>
    <row r="5" spans="1:20" ht="15.75" customHeight="1" x14ac:dyDescent="0.4">
      <c r="A5" s="5">
        <f t="shared" si="3"/>
        <v>46026</v>
      </c>
      <c r="B5" s="6">
        <f t="shared" si="4"/>
        <v>1</v>
      </c>
      <c r="C5" s="17"/>
      <c r="D5" s="1"/>
      <c r="E5" s="1"/>
      <c r="F5" s="1"/>
      <c r="G5" s="1"/>
      <c r="H5" s="1"/>
      <c r="I5" s="21" t="s">
        <v>18</v>
      </c>
      <c r="J5" s="82">
        <v>2026</v>
      </c>
      <c r="K5" s="82"/>
      <c r="M5" s="5">
        <f t="shared" si="1"/>
        <v>46026</v>
      </c>
      <c r="N5" s="6">
        <f t="shared" si="2"/>
        <v>1</v>
      </c>
      <c r="O5" s="17" t="str">
        <f>IFERROR(
    IF(
        IFERROR(FIND("安檢",$J$7),0),
        IF(
            MOD(_xlfn.DAYS(M5+2,FIND($J$7,假別_設定區!$O$7)/9),4)&lt;1,
            "值日",
            IF(OR(
                  IFERROR(VLOOKUP(TEXT(M5,"yyyymmdd")*1,國定假日_web!$A:$C,3,0),"否")="是",
                  TEXT(M5,"mmdd")="0119"),
            "輪休","日班")
        ),
        IF(
            MOD(_xlfn.DAYS(M5,FIND($J$7,假別_設定區!$O$7)/3),2)&lt;1,
            "值日",
            "輪休"
        )
    ),
"")</f>
        <v>輪休</v>
      </c>
      <c r="P5" s="64" t="str">
        <f>IF(
    IFERROR(VLOOKUP(TEXT(M5,"yyyymmdd")*1,國定假日_web!$A:$D,3,0),"否")="是",VLOOKUP(TEXT(M5,"yyyymmdd")*1,國定假日_web!$A:$D,4,0),
    IF(TEXT(M5,"mmdd")="0119","119消防節","")
   )</f>
        <v>星期六、星期日</v>
      </c>
      <c r="R5" s="69"/>
      <c r="S5" s="64"/>
      <c r="T5" s="64"/>
    </row>
    <row r="6" spans="1:20" ht="15.75" customHeight="1" x14ac:dyDescent="0.4">
      <c r="A6" s="5">
        <f t="shared" si="3"/>
        <v>46027</v>
      </c>
      <c r="B6" s="6">
        <f t="shared" si="4"/>
        <v>2</v>
      </c>
      <c r="C6" s="17"/>
      <c r="D6" s="1"/>
      <c r="E6" s="1"/>
      <c r="F6" s="1"/>
      <c r="G6" s="1"/>
      <c r="H6" s="1"/>
      <c r="I6" s="21" t="s">
        <v>19</v>
      </c>
      <c r="J6" s="85">
        <v>1</v>
      </c>
      <c r="K6" s="85"/>
      <c r="M6" s="5">
        <f t="shared" si="1"/>
        <v>46027</v>
      </c>
      <c r="N6" s="6">
        <f t="shared" si="2"/>
        <v>2</v>
      </c>
      <c r="O6" s="17" t="str">
        <f>IFERROR(
    IF(
        IFERROR(FIND("安檢",$J$7),0),
        IF(
            MOD(_xlfn.DAYS(M6+2,FIND($J$7,假別_設定區!$O$7)/9),4)&lt;1,
            "值日",
            IF(OR(
                  IFERROR(VLOOKUP(TEXT(M6,"yyyymmdd")*1,國定假日_web!$A:$C,3,0),"否")="是",
                  TEXT(M6,"mmdd")="0119"),
            "輪休","日班")
        ),
        IF(
            MOD(_xlfn.DAYS(M6,FIND($J$7,假別_設定區!$O$7)/3),2)&lt;1,
            "值日",
            "輪休"
        )
    ),
"")</f>
        <v>日班</v>
      </c>
      <c r="P6" s="64" t="str">
        <f>IF(
    IFERROR(VLOOKUP(TEXT(M6,"yyyymmdd")*1,國定假日_web!$A:$D,3,0),"否")="是",VLOOKUP(TEXT(M6,"yyyymmdd")*1,國定假日_web!$A:$D,4,0),
    IF(TEXT(M6,"mmdd")="0119","119消防節","")
   )</f>
        <v/>
      </c>
      <c r="R6" s="69"/>
      <c r="S6" s="64"/>
      <c r="T6" s="64"/>
    </row>
    <row r="7" spans="1:20" ht="15.75" customHeight="1" x14ac:dyDescent="0.4">
      <c r="A7" s="5">
        <f t="shared" si="3"/>
        <v>46028</v>
      </c>
      <c r="B7" s="6">
        <f t="shared" si="4"/>
        <v>3</v>
      </c>
      <c r="C7" s="17"/>
      <c r="D7" s="1"/>
      <c r="E7" s="1"/>
      <c r="F7" s="1"/>
      <c r="G7" s="1"/>
      <c r="H7" s="1"/>
      <c r="I7" s="11" t="s">
        <v>30</v>
      </c>
      <c r="J7" s="82" t="s">
        <v>245</v>
      </c>
      <c r="K7" s="82"/>
      <c r="M7" s="5">
        <f t="shared" si="1"/>
        <v>46028</v>
      </c>
      <c r="N7" s="6">
        <f t="shared" si="2"/>
        <v>3</v>
      </c>
      <c r="O7" s="17" t="str">
        <f>IFERROR(
    IF(
        IFERROR(FIND("安檢",$J$7),0),
        IF(
            MOD(_xlfn.DAYS(M7+2,FIND($J$7,假別_設定區!$O$7)/9),4)&lt;1,
            "值日",
            IF(OR(
                  IFERROR(VLOOKUP(TEXT(M7,"yyyymmdd")*1,國定假日_web!$A:$C,3,0),"否")="是",
                  TEXT(M7,"mmdd")="0119"),
            "輪休","日班")
        ),
        IF(
            MOD(_xlfn.DAYS(M7,FIND($J$7,假別_設定區!$O$7)/3),2)&lt;1,
            "值日",
            "輪休"
        )
    ),
"")</f>
        <v>日班</v>
      </c>
      <c r="P7" s="64" t="str">
        <f>IF(
    IFERROR(VLOOKUP(TEXT(M7,"yyyymmdd")*1,國定假日_web!$A:$D,3,0),"否")="是",VLOOKUP(TEXT(M7,"yyyymmdd")*1,國定假日_web!$A:$D,4,0),
    IF(TEXT(M7,"mmdd")="0119","119消防節","")
   )</f>
        <v/>
      </c>
      <c r="R7" s="69"/>
      <c r="S7" s="64"/>
      <c r="T7" s="64"/>
    </row>
    <row r="8" spans="1:20" ht="15.75" customHeight="1" x14ac:dyDescent="0.4">
      <c r="A8" s="5">
        <f t="shared" si="3"/>
        <v>46029</v>
      </c>
      <c r="B8" s="6">
        <f t="shared" si="4"/>
        <v>4</v>
      </c>
      <c r="C8" s="17"/>
      <c r="D8" s="1"/>
      <c r="E8" s="1"/>
      <c r="F8" s="1"/>
      <c r="G8" s="1"/>
      <c r="H8" s="1"/>
      <c r="I8" s="11" t="s">
        <v>107</v>
      </c>
      <c r="J8" s="82" t="s">
        <v>247</v>
      </c>
      <c r="K8" s="82"/>
      <c r="M8" s="5">
        <f t="shared" si="1"/>
        <v>46029</v>
      </c>
      <c r="N8" s="6">
        <f t="shared" si="2"/>
        <v>4</v>
      </c>
      <c r="O8" s="17" t="str">
        <f>IFERROR(
    IF(
        IFERROR(FIND("安檢",$J$7),0),
        IF(
            MOD(_xlfn.DAYS(M8+2,FIND($J$7,假別_設定區!$O$7)/9),4)&lt;1,
            "值日",
            IF(OR(
                  IFERROR(VLOOKUP(TEXT(M8,"yyyymmdd")*1,國定假日_web!$A:$C,3,0),"否")="是",
                  TEXT(M8,"mmdd")="0119"),
            "輪休","日班")
        ),
        IF(
            MOD(_xlfn.DAYS(M8,FIND($J$7,假別_設定區!$O$7)/3),2)&lt;1,
            "值日",
            "輪休"
        )
    ),
"")</f>
        <v>值日</v>
      </c>
      <c r="P8" s="64" t="str">
        <f>IF(
    IFERROR(VLOOKUP(TEXT(M8,"yyyymmdd")*1,國定假日_web!$A:$D,3,0),"否")="是",VLOOKUP(TEXT(M8,"yyyymmdd")*1,國定假日_web!$A:$D,4,0),
    IF(TEXT(M8,"mmdd")="0119","119消防節","")
   )</f>
        <v/>
      </c>
      <c r="R8" s="69"/>
      <c r="S8" s="64"/>
      <c r="T8" s="64"/>
    </row>
    <row r="9" spans="1:20" ht="15.75" customHeight="1" x14ac:dyDescent="0.4">
      <c r="A9" s="5">
        <f t="shared" si="3"/>
        <v>46030</v>
      </c>
      <c r="B9" s="6">
        <f t="shared" si="4"/>
        <v>5</v>
      </c>
      <c r="C9" s="17"/>
      <c r="D9" s="1"/>
      <c r="E9" s="1"/>
      <c r="F9" s="1"/>
      <c r="G9" s="1"/>
      <c r="H9" s="1"/>
      <c r="J9" s="77"/>
      <c r="K9" s="77"/>
      <c r="M9" s="5">
        <f t="shared" si="1"/>
        <v>46030</v>
      </c>
      <c r="N9" s="6">
        <f t="shared" si="2"/>
        <v>5</v>
      </c>
      <c r="O9" s="17" t="str">
        <f>IFERROR(
    IF(
        IFERROR(FIND("安檢",$J$7),0),
        IF(
            MOD(_xlfn.DAYS(M9+2,FIND($J$7,假別_設定區!$O$7)/9),4)&lt;1,
            "值日",
            IF(OR(
                  IFERROR(VLOOKUP(TEXT(M9,"yyyymmdd")*1,國定假日_web!$A:$C,3,0),"否")="是",
                  TEXT(M9,"mmdd")="0119"),
            "輪休","日班")
        ),
        IF(
            MOD(_xlfn.DAYS(M9,FIND($J$7,假別_設定區!$O$7)/3),2)&lt;1,
            "值日",
            "輪休"
        )
    ),
"")</f>
        <v>日班</v>
      </c>
      <c r="P9" s="64" t="str">
        <f>IF(
    IFERROR(VLOOKUP(TEXT(M9,"yyyymmdd")*1,國定假日_web!$A:$D,3,0),"否")="是",VLOOKUP(TEXT(M9,"yyyymmdd")*1,國定假日_web!$A:$D,4,0),
    IF(TEXT(M9,"mmdd")="0119","119消防節","")
   )</f>
        <v/>
      </c>
      <c r="R9" s="69"/>
      <c r="S9" s="64"/>
      <c r="T9" s="64"/>
    </row>
    <row r="10" spans="1:20" ht="15.75" customHeight="1" x14ac:dyDescent="0.4">
      <c r="A10" s="5">
        <f t="shared" si="3"/>
        <v>46031</v>
      </c>
      <c r="B10" s="6">
        <f t="shared" si="4"/>
        <v>6</v>
      </c>
      <c r="C10" s="17"/>
      <c r="D10" s="1"/>
      <c r="E10" s="1"/>
      <c r="F10" s="1"/>
      <c r="G10" s="1"/>
      <c r="H10" s="1"/>
      <c r="J10" s="77"/>
      <c r="K10" s="77"/>
      <c r="M10" s="5">
        <f t="shared" si="1"/>
        <v>46031</v>
      </c>
      <c r="N10" s="6">
        <f t="shared" si="2"/>
        <v>6</v>
      </c>
      <c r="O10" s="17" t="str">
        <f>IFERROR(
    IF(
        IFERROR(FIND("安檢",$J$7),0),
        IF(
            MOD(_xlfn.DAYS(M10+2,FIND($J$7,假別_設定區!$O$7)/9),4)&lt;1,
            "值日",
            IF(OR(
                  IFERROR(VLOOKUP(TEXT(M10,"yyyymmdd")*1,國定假日_web!$A:$C,3,0),"否")="是",
                  TEXT(M10,"mmdd")="0119"),
            "輪休","日班")
        ),
        IF(
            MOD(_xlfn.DAYS(M10,FIND($J$7,假別_設定區!$O$7)/3),2)&lt;1,
            "值日",
            "輪休"
        )
    ),
"")</f>
        <v>日班</v>
      </c>
      <c r="P10" s="64" t="str">
        <f>IF(
    IFERROR(VLOOKUP(TEXT(M10,"yyyymmdd")*1,國定假日_web!$A:$D,3,0),"否")="是",VLOOKUP(TEXT(M10,"yyyymmdd")*1,國定假日_web!$A:$D,4,0),
    IF(TEXT(M10,"mmdd")="0119","119消防節","")
   )</f>
        <v/>
      </c>
      <c r="R10" s="69"/>
      <c r="S10" s="64"/>
      <c r="T10" s="64"/>
    </row>
    <row r="11" spans="1:20" ht="15.75" customHeight="1" x14ac:dyDescent="0.4">
      <c r="A11" s="5">
        <f t="shared" si="3"/>
        <v>46032</v>
      </c>
      <c r="B11" s="6">
        <f t="shared" si="4"/>
        <v>7</v>
      </c>
      <c r="C11" s="17"/>
      <c r="D11" s="1"/>
      <c r="E11" s="1"/>
      <c r="F11" s="1"/>
      <c r="G11" s="1"/>
      <c r="H11" s="1"/>
      <c r="J11" s="77"/>
      <c r="K11" s="77"/>
      <c r="M11" s="5">
        <f t="shared" si="1"/>
        <v>46032</v>
      </c>
      <c r="N11" s="6">
        <f t="shared" si="2"/>
        <v>7</v>
      </c>
      <c r="O11" s="17" t="str">
        <f>IFERROR(
    IF(
        IFERROR(FIND("安檢",$J$7),0),
        IF(
            MOD(_xlfn.DAYS(M11+2,FIND($J$7,假別_設定區!$O$7)/9),4)&lt;1,
            "值日",
            IF(OR(
                  IFERROR(VLOOKUP(TEXT(M11,"yyyymmdd")*1,國定假日_web!$A:$C,3,0),"否")="是",
                  TEXT(M11,"mmdd")="0119"),
            "輪休","日班")
        ),
        IF(
            MOD(_xlfn.DAYS(M11,FIND($J$7,假別_設定區!$O$7)/3),2)&lt;1,
            "值日",
            "輪休"
        )
    ),
"")</f>
        <v>輪休</v>
      </c>
      <c r="P11" s="64" t="str">
        <f>IF(
    IFERROR(VLOOKUP(TEXT(M11,"yyyymmdd")*1,國定假日_web!$A:$D,3,0),"否")="是",VLOOKUP(TEXT(M11,"yyyymmdd")*1,國定假日_web!$A:$D,4,0),
    IF(TEXT(M11,"mmdd")="0119","119消防節","")
   )</f>
        <v>星期六、星期日</v>
      </c>
      <c r="R11" s="69"/>
      <c r="S11" s="64"/>
      <c r="T11" s="64"/>
    </row>
    <row r="12" spans="1:20" ht="15.75" customHeight="1" x14ac:dyDescent="0.4">
      <c r="A12" s="5">
        <f t="shared" si="3"/>
        <v>46033</v>
      </c>
      <c r="B12" s="6">
        <f t="shared" si="4"/>
        <v>1</v>
      </c>
      <c r="C12" s="17"/>
      <c r="D12" s="1"/>
      <c r="E12" s="1"/>
      <c r="F12" s="1"/>
      <c r="G12" s="1"/>
      <c r="H12" s="1"/>
      <c r="J12" s="77"/>
      <c r="K12" s="77"/>
      <c r="M12" s="5">
        <f t="shared" si="1"/>
        <v>46033</v>
      </c>
      <c r="N12" s="6">
        <f t="shared" si="2"/>
        <v>1</v>
      </c>
      <c r="O12" s="17" t="str">
        <f>IFERROR(
    IF(
        IFERROR(FIND("安檢",$J$7),0),
        IF(
            MOD(_xlfn.DAYS(M12+2,FIND($J$7,假別_設定區!$O$7)/9),4)&lt;1,
            "值日",
            IF(OR(
                  IFERROR(VLOOKUP(TEXT(M12,"yyyymmdd")*1,國定假日_web!$A:$C,3,0),"否")="是",
                  TEXT(M12,"mmdd")="0119"),
            "輪休","日班")
        ),
        IF(
            MOD(_xlfn.DAYS(M12,FIND($J$7,假別_設定區!$O$7)/3),2)&lt;1,
            "值日",
            "輪休"
        )
    ),
"")</f>
        <v>值日</v>
      </c>
      <c r="P12" s="64" t="str">
        <f>IF(
    IFERROR(VLOOKUP(TEXT(M12,"yyyymmdd")*1,國定假日_web!$A:$D,3,0),"否")="是",VLOOKUP(TEXT(M12,"yyyymmdd")*1,國定假日_web!$A:$D,4,0),
    IF(TEXT(M12,"mmdd")="0119","119消防節","")
   )</f>
        <v>星期六、星期日</v>
      </c>
      <c r="R12" s="69"/>
      <c r="S12" s="64"/>
      <c r="T12" s="64"/>
    </row>
    <row r="13" spans="1:20" ht="15.75" customHeight="1" x14ac:dyDescent="0.4">
      <c r="A13" s="5">
        <f t="shared" si="3"/>
        <v>46034</v>
      </c>
      <c r="B13" s="6">
        <f t="shared" si="4"/>
        <v>2</v>
      </c>
      <c r="C13" s="17"/>
      <c r="D13" s="1"/>
      <c r="E13" s="1"/>
      <c r="F13" s="1"/>
      <c r="G13" s="1"/>
      <c r="H13" s="1"/>
      <c r="J13" s="78" t="s">
        <v>116</v>
      </c>
      <c r="K13" s="78"/>
      <c r="M13" s="5">
        <f t="shared" si="1"/>
        <v>46034</v>
      </c>
      <c r="N13" s="6">
        <f t="shared" si="2"/>
        <v>2</v>
      </c>
      <c r="O13" s="17" t="str">
        <f>IFERROR(
    IF(
        IFERROR(FIND("安檢",$J$7),0),
        IF(
            MOD(_xlfn.DAYS(M13+2,FIND($J$7,假別_設定區!$O$7)/9),4)&lt;1,
            "值日",
            IF(OR(
                  IFERROR(VLOOKUP(TEXT(M13,"yyyymmdd")*1,國定假日_web!$A:$C,3,0),"否")="是",
                  TEXT(M13,"mmdd")="0119"),
            "輪休","日班")
        ),
        IF(
            MOD(_xlfn.DAYS(M13,FIND($J$7,假別_設定區!$O$7)/3),2)&lt;1,
            "值日",
            "輪休"
        )
    ),
"")</f>
        <v>日班</v>
      </c>
      <c r="P13" s="64" t="str">
        <f>IF(
    IFERROR(VLOOKUP(TEXT(M13,"yyyymmdd")*1,國定假日_web!$A:$D,3,0),"否")="是",VLOOKUP(TEXT(M13,"yyyymmdd")*1,國定假日_web!$A:$D,4,0),
    IF(TEXT(M13,"mmdd")="0119","119消防節","")
   )</f>
        <v/>
      </c>
      <c r="R13" s="69"/>
      <c r="S13" s="64"/>
      <c r="T13" s="64"/>
    </row>
    <row r="14" spans="1:20" ht="15.75" customHeight="1" x14ac:dyDescent="0.45">
      <c r="A14" s="5">
        <f t="shared" si="3"/>
        <v>46035</v>
      </c>
      <c r="B14" s="6">
        <f t="shared" si="4"/>
        <v>3</v>
      </c>
      <c r="C14" s="17"/>
      <c r="D14" s="1"/>
      <c r="E14" s="1"/>
      <c r="F14" s="1"/>
      <c r="G14" s="1"/>
      <c r="H14" s="1"/>
      <c r="J14" s="76" t="s">
        <v>33</v>
      </c>
      <c r="K14" s="76"/>
      <c r="M14" s="5">
        <f t="shared" si="1"/>
        <v>46035</v>
      </c>
      <c r="N14" s="6">
        <f t="shared" si="2"/>
        <v>3</v>
      </c>
      <c r="O14" s="17" t="str">
        <f>IFERROR(
    IF(
        IFERROR(FIND("安檢",$J$7),0),
        IF(
            MOD(_xlfn.DAYS(M14+2,FIND($J$7,假別_設定區!$O$7)/9),4)&lt;1,
            "值日",
            IF(OR(
                  IFERROR(VLOOKUP(TEXT(M14,"yyyymmdd")*1,國定假日_web!$A:$C,3,0),"否")="是",
                  TEXT(M14,"mmdd")="0119"),
            "輪休","日班")
        ),
        IF(
            MOD(_xlfn.DAYS(M14,FIND($J$7,假別_設定區!$O$7)/3),2)&lt;1,
            "值日",
            "輪休"
        )
    ),
"")</f>
        <v>日班</v>
      </c>
      <c r="P14" s="64" t="str">
        <f>IF(
    IFERROR(VLOOKUP(TEXT(M14,"yyyymmdd")*1,國定假日_web!$A:$D,3,0),"否")="是",VLOOKUP(TEXT(M14,"yyyymmdd")*1,國定假日_web!$A:$D,4,0),
    IF(TEXT(M14,"mmdd")="0119","119消防節","")
   )</f>
        <v/>
      </c>
      <c r="S14" s="64"/>
      <c r="T14" s="64"/>
    </row>
    <row r="15" spans="1:20" ht="15.75" customHeight="1" x14ac:dyDescent="0.4">
      <c r="A15" s="5">
        <f t="shared" si="3"/>
        <v>46036</v>
      </c>
      <c r="B15" s="6">
        <f t="shared" si="4"/>
        <v>4</v>
      </c>
      <c r="C15" s="17"/>
      <c r="D15" s="1"/>
      <c r="E15" s="1"/>
      <c r="F15" s="1"/>
      <c r="G15" s="1"/>
      <c r="H15" s="1"/>
      <c r="J15" s="37" t="str" cm="1">
        <f t="array" ref="J15:J23">_xlfn._xlws.FILTER(假別_設定區!$B$2:$B$55,假別_設定區!$B$2:$B$55&lt;&gt;"")</f>
        <v>值日</v>
      </c>
      <c r="K15" s="37" t="str" cm="1">
        <f t="array" ref="K15:K23">_xlfn._xlws.FILTER(假別_設定區!$H$2:$H$55,假別_設定區!$H$2:$H$55&lt;&gt;"")</f>
        <v>婚假</v>
      </c>
      <c r="M15" s="5">
        <f t="shared" si="1"/>
        <v>46036</v>
      </c>
      <c r="N15" s="6">
        <f t="shared" si="2"/>
        <v>4</v>
      </c>
      <c r="O15" s="17" t="str">
        <f>IFERROR(
    IF(
        IFERROR(FIND("安檢",$J$7),0),
        IF(
            MOD(_xlfn.DAYS(M15+2,FIND($J$7,假別_設定區!$O$7)/9),4)&lt;1,
            "值日",
            IF(OR(
                  IFERROR(VLOOKUP(TEXT(M15,"yyyymmdd")*1,國定假日_web!$A:$C,3,0),"否")="是",
                  TEXT(M15,"mmdd")="0119"),
            "輪休","日班")
        ),
        IF(
            MOD(_xlfn.DAYS(M15,FIND($J$7,假別_設定區!$O$7)/3),2)&lt;1,
            "值日",
            "輪休"
        )
    ),
"")</f>
        <v>日班</v>
      </c>
      <c r="P15" s="64" t="str">
        <f>IF(
    IFERROR(VLOOKUP(TEXT(M15,"yyyymmdd")*1,國定假日_web!$A:$D,3,0),"否")="是",VLOOKUP(TEXT(M15,"yyyymmdd")*1,國定假日_web!$A:$D,4,0),
    IF(TEXT(M15,"mmdd")="0119","119消防節","")
   )</f>
        <v/>
      </c>
      <c r="S15" s="64"/>
      <c r="T15" s="64"/>
    </row>
    <row r="16" spans="1:20" ht="15.75" customHeight="1" x14ac:dyDescent="0.4">
      <c r="A16" s="5">
        <f t="shared" si="3"/>
        <v>46037</v>
      </c>
      <c r="B16" s="6">
        <f t="shared" si="4"/>
        <v>5</v>
      </c>
      <c r="C16" s="17"/>
      <c r="D16" s="1"/>
      <c r="E16" s="1"/>
      <c r="F16" s="1"/>
      <c r="G16" s="1"/>
      <c r="H16" s="1"/>
      <c r="J16" s="37" t="str">
        <v>日班</v>
      </c>
      <c r="K16" s="37" t="str">
        <v>集訓</v>
      </c>
      <c r="M16" s="5">
        <f t="shared" si="1"/>
        <v>46037</v>
      </c>
      <c r="N16" s="6">
        <f t="shared" si="2"/>
        <v>5</v>
      </c>
      <c r="O16" s="17" t="str">
        <f>IFERROR(
    IF(
        IFERROR(FIND("安檢",$J$7),0),
        IF(
            MOD(_xlfn.DAYS(M16+2,FIND($J$7,假別_設定區!$O$7)/9),4)&lt;1,
            "值日",
            IF(OR(
                  IFERROR(VLOOKUP(TEXT(M16,"yyyymmdd")*1,國定假日_web!$A:$C,3,0),"否")="是",
                  TEXT(M16,"mmdd")="0119"),
            "輪休","日班")
        ),
        IF(
            MOD(_xlfn.DAYS(M16,FIND($J$7,假別_設定區!$O$7)/3),2)&lt;1,
            "值日",
            "輪休"
        )
    ),
"")</f>
        <v>值日</v>
      </c>
      <c r="P16" s="64" t="str">
        <f>IF(
    IFERROR(VLOOKUP(TEXT(M16,"yyyymmdd")*1,國定假日_web!$A:$D,3,0),"否")="是",VLOOKUP(TEXT(M16,"yyyymmdd")*1,國定假日_web!$A:$D,4,0),
    IF(TEXT(M16,"mmdd")="0119","119消防節","")
   )</f>
        <v/>
      </c>
      <c r="S16" s="64"/>
      <c r="T16" s="64"/>
    </row>
    <row r="17" spans="1:21" ht="15.75" customHeight="1" x14ac:dyDescent="0.4">
      <c r="A17" s="5">
        <f t="shared" si="3"/>
        <v>46038</v>
      </c>
      <c r="B17" s="6">
        <f t="shared" si="4"/>
        <v>6</v>
      </c>
      <c r="C17" s="17"/>
      <c r="D17" s="1"/>
      <c r="E17" s="1"/>
      <c r="F17" s="1"/>
      <c r="G17" s="1"/>
      <c r="H17" s="1"/>
      <c r="J17" s="37" t="str">
        <v>輪休</v>
      </c>
      <c r="K17" s="37" t="str">
        <v>集訓外宿</v>
      </c>
      <c r="M17" s="5">
        <f t="shared" si="1"/>
        <v>46038</v>
      </c>
      <c r="N17" s="6">
        <f t="shared" si="2"/>
        <v>6</v>
      </c>
      <c r="O17" s="17" t="str">
        <f>IFERROR(
    IF(
        IFERROR(FIND("安檢",$J$7),0),
        IF(
            MOD(_xlfn.DAYS(M17+2,FIND($J$7,假別_設定區!$O$7)/9),4)&lt;1,
            "值日",
            IF(OR(
                  IFERROR(VLOOKUP(TEXT(M17,"yyyymmdd")*1,國定假日_web!$A:$C,3,0),"否")="是",
                  TEXT(M17,"mmdd")="0119"),
            "輪休","日班")
        ),
        IF(
            MOD(_xlfn.DAYS(M17,FIND($J$7,假別_設定區!$O$7)/3),2)&lt;1,
            "值日",
            "輪休"
        )
    ),
"")</f>
        <v>日班</v>
      </c>
      <c r="P17" s="64" t="str">
        <f>IF(
    IFERROR(VLOOKUP(TEXT(M17,"yyyymmdd")*1,國定假日_web!$A:$D,3,0),"否")="是",VLOOKUP(TEXT(M17,"yyyymmdd")*1,國定假日_web!$A:$D,4,0),
    IF(TEXT(M17,"mmdd")="0119","119消防節","")
   )</f>
        <v/>
      </c>
      <c r="S17" s="64"/>
      <c r="T17" s="64"/>
    </row>
    <row r="18" spans="1:21" ht="15.75" customHeight="1" x14ac:dyDescent="0.4">
      <c r="A18" s="5">
        <f t="shared" si="3"/>
        <v>46039</v>
      </c>
      <c r="B18" s="6">
        <f t="shared" si="4"/>
        <v>7</v>
      </c>
      <c r="C18" s="17"/>
      <c r="D18" s="1"/>
      <c r="E18" s="1"/>
      <c r="F18" s="1"/>
      <c r="G18" s="1"/>
      <c r="H18" s="1"/>
      <c r="J18" s="37" t="str">
        <v>局補</v>
      </c>
      <c r="K18" s="37" t="str">
        <v>.</v>
      </c>
      <c r="M18" s="5">
        <f t="shared" si="1"/>
        <v>46039</v>
      </c>
      <c r="N18" s="6">
        <f t="shared" si="2"/>
        <v>7</v>
      </c>
      <c r="O18" s="17" t="str">
        <f>IFERROR(
    IF(
        IFERROR(FIND("安檢",$J$7),0),
        IF(
            MOD(_xlfn.DAYS(M18+2,FIND($J$7,假別_設定區!$O$7)/9),4)&lt;1,
            "值日",
            IF(OR(
                  IFERROR(VLOOKUP(TEXT(M18,"yyyymmdd")*1,國定假日_web!$A:$C,3,0),"否")="是",
                  TEXT(M18,"mmdd")="0119"),
            "輪休","日班")
        ),
        IF(
            MOD(_xlfn.DAYS(M18,FIND($J$7,假別_設定區!$O$7)/3),2)&lt;1,
            "值日",
            "輪休"
        )
    ),
"")</f>
        <v>輪休</v>
      </c>
      <c r="P18" s="64" t="str">
        <f>IF(
    IFERROR(VLOOKUP(TEXT(M18,"yyyymmdd")*1,國定假日_web!$A:$D,3,0),"否")="是",VLOOKUP(TEXT(M18,"yyyymmdd")*1,國定假日_web!$A:$D,4,0),
    IF(TEXT(M18,"mmdd")="0119","119消防節","")
   )</f>
        <v>星期六、星期日</v>
      </c>
      <c r="S18" s="64"/>
      <c r="T18" s="64"/>
      <c r="U18" s="68"/>
    </row>
    <row r="19" spans="1:21" ht="15.75" customHeight="1" x14ac:dyDescent="0.4">
      <c r="A19" s="5">
        <f t="shared" si="3"/>
        <v>46040</v>
      </c>
      <c r="B19" s="6">
        <f t="shared" si="4"/>
        <v>1</v>
      </c>
      <c r="C19" s="17"/>
      <c r="D19" s="1"/>
      <c r="E19" s="1"/>
      <c r="F19" s="1"/>
      <c r="G19" s="1"/>
      <c r="H19" s="1"/>
      <c r="J19" s="37" t="str">
        <v>補休-安檢</v>
      </c>
      <c r="K19" s="37" t="str">
        <v>..</v>
      </c>
      <c r="M19" s="5">
        <f t="shared" si="1"/>
        <v>46040</v>
      </c>
      <c r="N19" s="6">
        <f t="shared" si="2"/>
        <v>1</v>
      </c>
      <c r="O19" s="17" t="str">
        <f>IFERROR(
    IF(
        IFERROR(FIND("安檢",$J$7),0),
        IF(
            MOD(_xlfn.DAYS(M19+2,FIND($J$7,假別_設定區!$O$7)/9),4)&lt;1,
            "值日",
            IF(OR(
                  IFERROR(VLOOKUP(TEXT(M19,"yyyymmdd")*1,國定假日_web!$A:$C,3,0),"否")="是",
                  TEXT(M19,"mmdd")="0119"),
            "輪休","日班")
        ),
        IF(
            MOD(_xlfn.DAYS(M19,FIND($J$7,假別_設定區!$O$7)/3),2)&lt;1,
            "值日",
            "輪休"
        )
    ),
"")</f>
        <v>輪休</v>
      </c>
      <c r="P19" s="64" t="str">
        <f>IF(
    IFERROR(VLOOKUP(TEXT(M19,"yyyymmdd")*1,國定假日_web!$A:$D,3,0),"否")="是",VLOOKUP(TEXT(M19,"yyyymmdd")*1,國定假日_web!$A:$D,4,0),
    IF(TEXT(M19,"mmdd")="0119","119消防節","")
   )</f>
        <v>星期六、星期日</v>
      </c>
      <c r="S19" s="64"/>
      <c r="T19" s="64"/>
      <c r="U19" s="68"/>
    </row>
    <row r="20" spans="1:21" ht="15.75" customHeight="1" x14ac:dyDescent="0.4">
      <c r="A20" s="5">
        <f t="shared" si="3"/>
        <v>46041</v>
      </c>
      <c r="B20" s="6">
        <f t="shared" si="4"/>
        <v>2</v>
      </c>
      <c r="C20" s="17"/>
      <c r="D20" s="1"/>
      <c r="E20" s="1"/>
      <c r="F20" s="1"/>
      <c r="G20" s="1"/>
      <c r="H20" s="1"/>
      <c r="J20" s="37" t="str">
        <v>補休-外勤</v>
      </c>
      <c r="K20" s="37" t="str">
        <v>…</v>
      </c>
      <c r="M20" s="5">
        <f t="shared" si="1"/>
        <v>46041</v>
      </c>
      <c r="N20" s="6">
        <f t="shared" si="2"/>
        <v>2</v>
      </c>
      <c r="O20" s="17" t="str">
        <f>IFERROR(
    IF(
        IFERROR(FIND("安檢",$J$7),0),
        IF(
            MOD(_xlfn.DAYS(M20+2,FIND($J$7,假別_設定區!$O$7)/9),4)&lt;1,
            "值日",
            IF(OR(
                  IFERROR(VLOOKUP(TEXT(M20,"yyyymmdd")*1,國定假日_web!$A:$C,3,0),"否")="是",
                  TEXT(M20,"mmdd")="0119"),
            "輪休","日班")
        ),
        IF(
            MOD(_xlfn.DAYS(M20,FIND($J$7,假別_設定區!$O$7)/3),2)&lt;1,
            "值日",
            "輪休"
        )
    ),
"")</f>
        <v>值日</v>
      </c>
      <c r="P20" s="64" t="str">
        <f>IF(
    IFERROR(VLOOKUP(TEXT(M20,"yyyymmdd")*1,國定假日_web!$A:$D,3,0),"否")="是",VLOOKUP(TEXT(M20,"yyyymmdd")*1,國定假日_web!$A:$D,4,0),
    IF(TEXT(M20,"mmdd")="0119","119消防節","")
   )</f>
        <v>119消防節</v>
      </c>
      <c r="S20" s="64"/>
      <c r="T20" s="64"/>
      <c r="U20" s="68"/>
    </row>
    <row r="21" spans="1:21" ht="15.75" customHeight="1" x14ac:dyDescent="0.4">
      <c r="A21" s="5">
        <f t="shared" si="3"/>
        <v>46042</v>
      </c>
      <c r="B21" s="6">
        <f t="shared" si="4"/>
        <v>3</v>
      </c>
      <c r="C21" s="17"/>
      <c r="D21" s="1"/>
      <c r="E21" s="1"/>
      <c r="F21" s="1"/>
      <c r="G21" s="1"/>
      <c r="H21" s="1"/>
      <c r="J21" s="37" t="str">
        <v>請休</v>
      </c>
      <c r="K21" s="37" t="str">
        <v>….</v>
      </c>
      <c r="M21" s="5">
        <f t="shared" si="1"/>
        <v>46042</v>
      </c>
      <c r="N21" s="6">
        <f t="shared" si="2"/>
        <v>3</v>
      </c>
      <c r="O21" s="17" t="str">
        <f>IFERROR(
    IF(
        IFERROR(FIND("安檢",$J$7),0),
        IF(
            MOD(_xlfn.DAYS(M21+2,FIND($J$7,假別_設定區!$O$7)/9),4)&lt;1,
            "值日",
            IF(OR(
                  IFERROR(VLOOKUP(TEXT(M21,"yyyymmdd")*1,國定假日_web!$A:$C,3,0),"否")="是",
                  TEXT(M21,"mmdd")="0119"),
            "輪休","日班")
        ),
        IF(
            MOD(_xlfn.DAYS(M21,FIND($J$7,假別_設定區!$O$7)/3),2)&lt;1,
            "值日",
            "輪休"
        )
    ),
"")</f>
        <v>日班</v>
      </c>
      <c r="P21" s="64" t="str">
        <f>IF(
    IFERROR(VLOOKUP(TEXT(M21,"yyyymmdd")*1,國定假日_web!$A:$D,3,0),"否")="是",VLOOKUP(TEXT(M21,"yyyymmdd")*1,國定假日_web!$A:$D,4,0),
    IF(TEXT(M21,"mmdd")="0119","119消防節","")
   )</f>
        <v/>
      </c>
      <c r="S21" s="64"/>
      <c r="T21" s="64"/>
    </row>
    <row r="22" spans="1:21" ht="15.75" customHeight="1" x14ac:dyDescent="0.4">
      <c r="A22" s="5">
        <f t="shared" si="3"/>
        <v>46043</v>
      </c>
      <c r="B22" s="6">
        <f t="shared" si="4"/>
        <v>4</v>
      </c>
      <c r="C22" s="17"/>
      <c r="D22" s="1"/>
      <c r="E22" s="1"/>
      <c r="F22" s="1"/>
      <c r="G22" s="1"/>
      <c r="H22" s="1"/>
      <c r="J22" s="37" t="str">
        <v>身心調適假</v>
      </c>
      <c r="K22" s="37" t="str">
        <v>…..</v>
      </c>
      <c r="M22" s="5">
        <f t="shared" si="1"/>
        <v>46043</v>
      </c>
      <c r="N22" s="6">
        <f t="shared" si="2"/>
        <v>4</v>
      </c>
      <c r="O22" s="17" t="str">
        <f>IFERROR(
    IF(
        IFERROR(FIND("安檢",$J$7),0),
        IF(
            MOD(_xlfn.DAYS(M22+2,FIND($J$7,假別_設定區!$O$7)/9),4)&lt;1,
            "值日",
            IF(OR(
                  IFERROR(VLOOKUP(TEXT(M22,"yyyymmdd")*1,國定假日_web!$A:$C,3,0),"否")="是",
                  TEXT(M22,"mmdd")="0119"),
            "輪休","日班")
        ),
        IF(
            MOD(_xlfn.DAYS(M22,FIND($J$7,假別_設定區!$O$7)/3),2)&lt;1,
            "值日",
            "輪休"
        )
    ),
"")</f>
        <v>日班</v>
      </c>
      <c r="P22" s="64" t="str">
        <f>IF(
    IFERROR(VLOOKUP(TEXT(M22,"yyyymmdd")*1,國定假日_web!$A:$D,3,0),"否")="是",VLOOKUP(TEXT(M22,"yyyymmdd")*1,國定假日_web!$A:$D,4,0),
    IF(TEXT(M22,"mmdd")="0119","119消防節","")
   )</f>
        <v/>
      </c>
      <c r="S22" s="64"/>
      <c r="T22" s="64"/>
    </row>
    <row r="23" spans="1:21" ht="15.75" customHeight="1" x14ac:dyDescent="0.4">
      <c r="A23" s="5">
        <f t="shared" si="3"/>
        <v>46044</v>
      </c>
      <c r="B23" s="6">
        <f t="shared" si="4"/>
        <v>5</v>
      </c>
      <c r="C23" s="17"/>
      <c r="D23" s="1"/>
      <c r="E23" s="1"/>
      <c r="F23" s="1"/>
      <c r="G23" s="1"/>
      <c r="H23" s="1"/>
      <c r="J23" s="11" t="str">
        <v>家庭照顧假</v>
      </c>
      <c r="K23" s="11" t="str">
        <v>……</v>
      </c>
      <c r="M23" s="5">
        <f t="shared" si="1"/>
        <v>46044</v>
      </c>
      <c r="N23" s="6">
        <f t="shared" si="2"/>
        <v>5</v>
      </c>
      <c r="O23" s="17" t="str">
        <f>IFERROR(
    IF(
        IFERROR(FIND("安檢",$J$7),0),
        IF(
            MOD(_xlfn.DAYS(M23+2,FIND($J$7,假別_設定區!$O$7)/9),4)&lt;1,
            "值日",
            IF(OR(
                  IFERROR(VLOOKUP(TEXT(M23,"yyyymmdd")*1,國定假日_web!$A:$C,3,0),"否")="是",
                  TEXT(M23,"mmdd")="0119"),
            "輪休","日班")
        ),
        IF(
            MOD(_xlfn.DAYS(M23,FIND($J$7,假別_設定區!$O$7)/3),2)&lt;1,
            "值日",
            "輪休"
        )
    ),
"")</f>
        <v>日班</v>
      </c>
      <c r="P23" s="64" t="str">
        <f>IF(
    IFERROR(VLOOKUP(TEXT(M23,"yyyymmdd")*1,國定假日_web!$A:$D,3,0),"否")="是",VLOOKUP(TEXT(M23,"yyyymmdd")*1,國定假日_web!$A:$D,4,0),
    IF(TEXT(M23,"mmdd")="0119","119消防節","")
   )</f>
        <v/>
      </c>
      <c r="S23" s="64"/>
      <c r="T23" s="64"/>
    </row>
    <row r="24" spans="1:21" ht="15.75" customHeight="1" x14ac:dyDescent="0.4">
      <c r="A24" s="5">
        <f t="shared" si="3"/>
        <v>46045</v>
      </c>
      <c r="B24" s="6">
        <f t="shared" si="4"/>
        <v>6</v>
      </c>
      <c r="C24" s="17"/>
      <c r="D24" s="1"/>
      <c r="E24" s="1"/>
      <c r="F24" s="1"/>
      <c r="G24" s="1"/>
      <c r="H24" s="1"/>
      <c r="M24" s="5">
        <f t="shared" si="1"/>
        <v>46045</v>
      </c>
      <c r="N24" s="6">
        <f t="shared" si="2"/>
        <v>6</v>
      </c>
      <c r="O24" s="17" t="str">
        <f>IFERROR(
    IF(
        IFERROR(FIND("安檢",$J$7),0),
        IF(
            MOD(_xlfn.DAYS(M24+2,FIND($J$7,假別_設定區!$O$7)/9),4)&lt;1,
            "值日",
            IF(OR(
                  IFERROR(VLOOKUP(TEXT(M24,"yyyymmdd")*1,國定假日_web!$A:$C,3,0),"否")="是",
                  TEXT(M24,"mmdd")="0119"),
            "輪休","日班")
        ),
        IF(
            MOD(_xlfn.DAYS(M24,FIND($J$7,假別_設定區!$O$7)/3),2)&lt;1,
            "值日",
            "輪休"
        )
    ),
"")</f>
        <v>值日</v>
      </c>
      <c r="P24" s="64" t="str">
        <f>IF(
    IFERROR(VLOOKUP(TEXT(M24,"yyyymmdd")*1,國定假日_web!$A:$D,3,0),"否")="是",VLOOKUP(TEXT(M24,"yyyymmdd")*1,國定假日_web!$A:$D,4,0),
    IF(TEXT(M24,"mmdd")="0119","119消防節","")
   )</f>
        <v/>
      </c>
      <c r="S24" s="64"/>
      <c r="T24" s="64"/>
    </row>
    <row r="25" spans="1:21" ht="15.75" customHeight="1" x14ac:dyDescent="0.4">
      <c r="A25" s="5">
        <f t="shared" si="3"/>
        <v>46046</v>
      </c>
      <c r="B25" s="6">
        <f t="shared" si="4"/>
        <v>7</v>
      </c>
      <c r="C25" s="17"/>
      <c r="D25" s="1"/>
      <c r="E25" s="1"/>
      <c r="F25" s="1"/>
      <c r="G25" s="1"/>
      <c r="H25" s="1"/>
      <c r="M25" s="5">
        <f t="shared" si="1"/>
        <v>46046</v>
      </c>
      <c r="N25" s="6">
        <f t="shared" si="2"/>
        <v>7</v>
      </c>
      <c r="O25" s="17" t="str">
        <f>IFERROR(
    IF(
        IFERROR(FIND("安檢",$J$7),0),
        IF(
            MOD(_xlfn.DAYS(M25+2,FIND($J$7,假別_設定區!$O$7)/9),4)&lt;1,
            "值日",
            IF(OR(
                  IFERROR(VLOOKUP(TEXT(M25,"yyyymmdd")*1,國定假日_web!$A:$C,3,0),"否")="是",
                  TEXT(M25,"mmdd")="0119"),
            "輪休","日班")
        ),
        IF(
            MOD(_xlfn.DAYS(M25,FIND($J$7,假別_設定區!$O$7)/3),2)&lt;1,
            "值日",
            "輪休"
        )
    ),
"")</f>
        <v>輪休</v>
      </c>
      <c r="P25" s="64" t="str">
        <f>IF(
    IFERROR(VLOOKUP(TEXT(M25,"yyyymmdd")*1,國定假日_web!$A:$D,3,0),"否")="是",VLOOKUP(TEXT(M25,"yyyymmdd")*1,國定假日_web!$A:$D,4,0),
    IF(TEXT(M25,"mmdd")="0119","119消防節","")
   )</f>
        <v>星期六、星期日</v>
      </c>
      <c r="S25" s="64"/>
      <c r="T25" s="64"/>
    </row>
    <row r="26" spans="1:21" ht="15.75" customHeight="1" x14ac:dyDescent="0.4">
      <c r="A26" s="5">
        <f t="shared" si="3"/>
        <v>46047</v>
      </c>
      <c r="B26" s="6">
        <f t="shared" si="4"/>
        <v>1</v>
      </c>
      <c r="C26" s="17"/>
      <c r="D26" s="1"/>
      <c r="E26" s="1"/>
      <c r="F26" s="1"/>
      <c r="G26" s="1"/>
      <c r="H26" s="1"/>
      <c r="M26" s="5">
        <f t="shared" si="1"/>
        <v>46047</v>
      </c>
      <c r="N26" s="6">
        <f t="shared" si="2"/>
        <v>1</v>
      </c>
      <c r="O26" s="17" t="str">
        <f>IFERROR(
    IF(
        IFERROR(FIND("安檢",$J$7),0),
        IF(
            MOD(_xlfn.DAYS(M26+2,FIND($J$7,假別_設定區!$O$7)/9),4)&lt;1,
            "值日",
            IF(OR(
                  IFERROR(VLOOKUP(TEXT(M26,"yyyymmdd")*1,國定假日_web!$A:$C,3,0),"否")="是",
                  TEXT(M26,"mmdd")="0119"),
            "輪休","日班")
        ),
        IF(
            MOD(_xlfn.DAYS(M26,FIND($J$7,假別_設定區!$O$7)/3),2)&lt;1,
            "值日",
            "輪休"
        )
    ),
"")</f>
        <v>輪休</v>
      </c>
      <c r="P26" s="64" t="str">
        <f>IF(
    IFERROR(VLOOKUP(TEXT(M26,"yyyymmdd")*1,國定假日_web!$A:$D,3,0),"否")="是",VLOOKUP(TEXT(M26,"yyyymmdd")*1,國定假日_web!$A:$D,4,0),
    IF(TEXT(M26,"mmdd")="0119","119消防節","")
   )</f>
        <v>星期六、星期日</v>
      </c>
      <c r="S26" s="64"/>
      <c r="T26" s="64"/>
    </row>
    <row r="27" spans="1:21" ht="15.75" customHeight="1" x14ac:dyDescent="0.4">
      <c r="A27" s="5">
        <f t="shared" si="3"/>
        <v>46048</v>
      </c>
      <c r="B27" s="6">
        <f t="shared" si="4"/>
        <v>2</v>
      </c>
      <c r="C27" s="17"/>
      <c r="D27" s="1"/>
      <c r="E27" s="1"/>
      <c r="F27" s="1"/>
      <c r="G27" s="1"/>
      <c r="H27" s="1"/>
      <c r="M27" s="5">
        <f t="shared" si="1"/>
        <v>46048</v>
      </c>
      <c r="N27" s="6">
        <f t="shared" si="2"/>
        <v>2</v>
      </c>
      <c r="O27" s="17" t="str">
        <f>IFERROR(
    IF(
        IFERROR(FIND("安檢",$J$7),0),
        IF(
            MOD(_xlfn.DAYS(M27+2,FIND($J$7,假別_設定區!$O$7)/9),4)&lt;1,
            "值日",
            IF(OR(
                  IFERROR(VLOOKUP(TEXT(M27,"yyyymmdd")*1,國定假日_web!$A:$C,3,0),"否")="是",
                  TEXT(M27,"mmdd")="0119"),
            "輪休","日班")
        ),
        IF(
            MOD(_xlfn.DAYS(M27,FIND($J$7,假別_設定區!$O$7)/3),2)&lt;1,
            "值日",
            "輪休"
        )
    ),
"")</f>
        <v>日班</v>
      </c>
      <c r="P27" s="64" t="str">
        <f>IF(
    IFERROR(VLOOKUP(TEXT(M27,"yyyymmdd")*1,國定假日_web!$A:$D,3,0),"否")="是",VLOOKUP(TEXT(M27,"yyyymmdd")*1,國定假日_web!$A:$D,4,0),
    IF(TEXT(M27,"mmdd")="0119","119消防節","")
   )</f>
        <v/>
      </c>
      <c r="S27" s="64"/>
      <c r="T27" s="64"/>
    </row>
    <row r="28" spans="1:21" ht="15.75" customHeight="1" x14ac:dyDescent="0.4">
      <c r="A28" s="5">
        <f t="shared" si="3"/>
        <v>46049</v>
      </c>
      <c r="B28" s="6">
        <f t="shared" si="4"/>
        <v>3</v>
      </c>
      <c r="C28" s="17"/>
      <c r="D28" s="1"/>
      <c r="E28" s="1"/>
      <c r="F28" s="1"/>
      <c r="G28" s="1"/>
      <c r="H28" s="1"/>
      <c r="M28" s="5">
        <f t="shared" si="1"/>
        <v>46049</v>
      </c>
      <c r="N28" s="6">
        <f t="shared" si="2"/>
        <v>3</v>
      </c>
      <c r="O28" s="17" t="str">
        <f>IFERROR(
    IF(
        IFERROR(FIND("安檢",$J$7),0),
        IF(
            MOD(_xlfn.DAYS(M28+2,FIND($J$7,假別_設定區!$O$7)/9),4)&lt;1,
            "值日",
            IF(OR(
                  IFERROR(VLOOKUP(TEXT(M28,"yyyymmdd")*1,國定假日_web!$A:$C,3,0),"否")="是",
                  TEXT(M28,"mmdd")="0119"),
            "輪休","日班")
        ),
        IF(
            MOD(_xlfn.DAYS(M28,FIND($J$7,假別_設定區!$O$7)/3),2)&lt;1,
            "值日",
            "輪休"
        )
    ),
"")</f>
        <v>值日</v>
      </c>
      <c r="P28" s="64" t="str">
        <f>IF(
    IFERROR(VLOOKUP(TEXT(M28,"yyyymmdd")*1,國定假日_web!$A:$D,3,0),"否")="是",VLOOKUP(TEXT(M28,"yyyymmdd")*1,國定假日_web!$A:$D,4,0),
    IF(TEXT(M28,"mmdd")="0119","119消防節","")
   )</f>
        <v/>
      </c>
      <c r="S28" s="64"/>
      <c r="T28" s="64"/>
    </row>
    <row r="29" spans="1:21" ht="15.75" customHeight="1" x14ac:dyDescent="0.4">
      <c r="A29" s="5">
        <f t="shared" si="3"/>
        <v>46050</v>
      </c>
      <c r="B29" s="6">
        <f t="shared" si="4"/>
        <v>4</v>
      </c>
      <c r="C29" s="17"/>
      <c r="D29" s="1"/>
      <c r="E29" s="1"/>
      <c r="F29" s="1"/>
      <c r="G29" s="1"/>
      <c r="H29" s="1"/>
      <c r="M29" s="5">
        <f t="shared" si="1"/>
        <v>46050</v>
      </c>
      <c r="N29" s="6">
        <f t="shared" si="2"/>
        <v>4</v>
      </c>
      <c r="O29" s="17" t="str">
        <f>IFERROR(
    IF(
        IFERROR(FIND("安檢",$J$7),0),
        IF(
            MOD(_xlfn.DAYS(M29+2,FIND($J$7,假別_設定區!$O$7)/9),4)&lt;1,
            "值日",
            IF(OR(
                  IFERROR(VLOOKUP(TEXT(M29,"yyyymmdd")*1,國定假日_web!$A:$C,3,0),"否")="是",
                  TEXT(M29,"mmdd")="0119"),
            "輪休","日班")
        ),
        IF(
            MOD(_xlfn.DAYS(M29,FIND($J$7,假別_設定區!$O$7)/3),2)&lt;1,
            "值日",
            "輪休"
        )
    ),
"")</f>
        <v>日班</v>
      </c>
      <c r="P29" s="64" t="str">
        <f>IF(
    IFERROR(VLOOKUP(TEXT(M29,"yyyymmdd")*1,國定假日_web!$A:$D,3,0),"否")="是",VLOOKUP(TEXT(M29,"yyyymmdd")*1,國定假日_web!$A:$D,4,0),
    IF(TEXT(M29,"mmdd")="0119","119消防節","")
   )</f>
        <v/>
      </c>
      <c r="S29" s="64"/>
      <c r="T29" s="64"/>
    </row>
    <row r="30" spans="1:21" ht="15.75" customHeight="1" x14ac:dyDescent="0.4">
      <c r="A30" s="5">
        <f t="shared" si="3"/>
        <v>46051</v>
      </c>
      <c r="B30" s="6">
        <f t="shared" si="4"/>
        <v>5</v>
      </c>
      <c r="C30" s="17"/>
      <c r="D30" s="1"/>
      <c r="E30" s="1"/>
      <c r="F30" s="1"/>
      <c r="G30" s="1"/>
      <c r="H30" s="1"/>
      <c r="M30" s="5">
        <f t="shared" si="1"/>
        <v>46051</v>
      </c>
      <c r="N30" s="6">
        <f t="shared" si="2"/>
        <v>5</v>
      </c>
      <c r="O30" s="17" t="str">
        <f>IFERROR(
    IF(
        IFERROR(FIND("安檢",$J$7),0),
        IF(
            MOD(_xlfn.DAYS(M30+2,FIND($J$7,假別_設定區!$O$7)/9),4)&lt;1,
            "值日",
            IF(OR(
                  IFERROR(VLOOKUP(TEXT(M30,"yyyymmdd")*1,國定假日_web!$A:$C,3,0),"否")="是",
                  TEXT(M30,"mmdd")="0119"),
            "輪休","日班")
        ),
        IF(
            MOD(_xlfn.DAYS(M30,FIND($J$7,假別_設定區!$O$7)/3),2)&lt;1,
            "值日",
            "輪休"
        )
    ),
"")</f>
        <v>日班</v>
      </c>
      <c r="P30" s="64" t="str">
        <f>IF(
    IFERROR(VLOOKUP(TEXT(M30,"yyyymmdd")*1,國定假日_web!$A:$D,3,0),"否")="是",VLOOKUP(TEXT(M30,"yyyymmdd")*1,國定假日_web!$A:$D,4,0),
    IF(TEXT(M30,"mmdd")="0119","119消防節","")
   )</f>
        <v/>
      </c>
      <c r="S30" s="64"/>
      <c r="T30" s="64"/>
    </row>
    <row r="31" spans="1:21" ht="15.75" customHeight="1" x14ac:dyDescent="0.4">
      <c r="A31" s="5">
        <f t="shared" si="3"/>
        <v>46052</v>
      </c>
      <c r="B31" s="6">
        <f t="shared" si="4"/>
        <v>6</v>
      </c>
      <c r="C31" s="17"/>
      <c r="D31" s="1"/>
      <c r="E31" s="1"/>
      <c r="F31" s="1"/>
      <c r="G31" s="1"/>
      <c r="H31" s="1"/>
      <c r="L31" s="20"/>
      <c r="M31" s="5">
        <f t="shared" si="1"/>
        <v>46052</v>
      </c>
      <c r="N31" s="6">
        <f t="shared" si="2"/>
        <v>6</v>
      </c>
      <c r="O31" s="17" t="str">
        <f>IFERROR(
    IF(
        IFERROR(FIND("安檢",$J$7),0),
        IF(
            MOD(_xlfn.DAYS(M31+2,FIND($J$7,假別_設定區!$O$7)/9),4)&lt;1,
            "值日",
            IF(OR(
                  IFERROR(VLOOKUP(TEXT(M31,"yyyymmdd")*1,國定假日_web!$A:$C,3,0),"否")="是",
                  TEXT(M31,"mmdd")="0119"),
            "輪休","日班")
        ),
        IF(
            MOD(_xlfn.DAYS(M31,FIND($J$7,假別_設定區!$O$7)/3),2)&lt;1,
            "值日",
            "輪休"
        )
    ),
"")</f>
        <v>日班</v>
      </c>
      <c r="P31" s="64" t="str">
        <f>IF(
    IFERROR(VLOOKUP(TEXT(M31,"yyyymmdd")*1,國定假日_web!$A:$D,3,0),"否")="是",VLOOKUP(TEXT(M31,"yyyymmdd")*1,國定假日_web!$A:$D,4,0),
    IF(TEXT(M31,"mmdd")="0119","119消防節","")
   )</f>
        <v/>
      </c>
      <c r="S31" s="64"/>
      <c r="T31" s="64"/>
    </row>
    <row r="32" spans="1:21" ht="15" customHeight="1" x14ac:dyDescent="0.4">
      <c r="A32" s="5">
        <f t="shared" si="3"/>
        <v>46053</v>
      </c>
      <c r="B32" s="6">
        <f t="shared" ref="B32" si="5">IF(A32=" "," ",WEEKDAY(A32))</f>
        <v>7</v>
      </c>
      <c r="C32" s="17"/>
      <c r="D32" s="1"/>
      <c r="E32" s="1"/>
      <c r="F32" s="1"/>
      <c r="G32" s="1"/>
      <c r="H32" s="1"/>
      <c r="J32" s="77"/>
      <c r="K32" s="77"/>
      <c r="L32" s="20"/>
      <c r="M32" s="5">
        <f t="shared" si="1"/>
        <v>46053</v>
      </c>
      <c r="N32" s="6">
        <f t="shared" si="2"/>
        <v>7</v>
      </c>
      <c r="O32" s="17" t="str">
        <f>IFERROR(
    IF(
        IFERROR(FIND("安檢",$J$7),0),
        IF(
            MOD(_xlfn.DAYS(M32+2,FIND($J$7,假別_設定區!$O$7)/9),4)&lt;1,
            "值日",
            IF(OR(
                  IFERROR(VLOOKUP(TEXT(M32,"yyyymmdd")*1,國定假日_web!$A:$C,3,0),"否")="是",
                  TEXT(M32,"mmdd")="0119"),
            "輪休","日班")
        ),
        IF(
            MOD(_xlfn.DAYS(M32,FIND($J$7,假別_設定區!$O$7)/3),2)&lt;1,
            "值日",
            "輪休"
        )
    ),
"")</f>
        <v>值日</v>
      </c>
      <c r="P32" s="64" t="str">
        <f>IF(
    IFERROR(VLOOKUP(TEXT(M32,"yyyymmdd")*1,國定假日_web!$A:$D,3,0),"否")="是",VLOOKUP(TEXT(M32,"yyyymmdd")*1,國定假日_web!$A:$D,4,0),
    IF(TEXT(M32,"mmdd")="0119","119消防節","")
   )</f>
        <v>星期六、星期日</v>
      </c>
      <c r="S32" s="64"/>
      <c r="T32" s="64"/>
    </row>
    <row r="33" spans="1:15" s="21" customFormat="1" ht="15" customHeight="1" thickBot="1" x14ac:dyDescent="0.45">
      <c r="A33" s="24"/>
      <c r="B33" s="25"/>
      <c r="C33" s="22"/>
      <c r="D33" s="23"/>
      <c r="E33" s="23"/>
      <c r="F33" s="23"/>
      <c r="G33" s="23"/>
      <c r="M33" s="24"/>
      <c r="N33" s="25"/>
      <c r="O33" s="22"/>
    </row>
    <row r="34" spans="1:15" ht="28.9" thickTop="1" x14ac:dyDescent="0.85">
      <c r="B34" s="40" t="s">
        <v>109</v>
      </c>
      <c r="C34" s="41"/>
      <c r="D34" s="41"/>
      <c r="E34" s="42"/>
      <c r="F34" s="23"/>
      <c r="G34" s="23"/>
      <c r="I34" s="70" t="s">
        <v>17</v>
      </c>
      <c r="J34" s="71"/>
      <c r="K34" s="72"/>
    </row>
    <row r="35" spans="1:15" ht="28.9" thickBot="1" x14ac:dyDescent="0.9">
      <c r="B35" s="43" t="s">
        <v>103</v>
      </c>
      <c r="C35" s="44"/>
      <c r="D35" s="44"/>
      <c r="E35" s="45"/>
      <c r="F35" s="23"/>
      <c r="G35" s="23"/>
      <c r="I35" s="73" t="s">
        <v>87</v>
      </c>
      <c r="J35" s="74"/>
      <c r="K35" s="75"/>
    </row>
    <row r="36" spans="1:15" ht="15.75" customHeight="1" thickTop="1" x14ac:dyDescent="0.4"/>
  </sheetData>
  <mergeCells count="18">
    <mergeCell ref="J1:K1"/>
    <mergeCell ref="J4:K4"/>
    <mergeCell ref="J7:K7"/>
    <mergeCell ref="J2:K2"/>
    <mergeCell ref="J10:K10"/>
    <mergeCell ref="J6:K6"/>
    <mergeCell ref="J9:K9"/>
    <mergeCell ref="J8:K8"/>
    <mergeCell ref="J5:K5"/>
    <mergeCell ref="J3:K3"/>
    <mergeCell ref="R2:R13"/>
    <mergeCell ref="I34:K34"/>
    <mergeCell ref="I35:K35"/>
    <mergeCell ref="J14:K14"/>
    <mergeCell ref="J11:K11"/>
    <mergeCell ref="J12:K12"/>
    <mergeCell ref="J32:K32"/>
    <mergeCell ref="J13:K13"/>
  </mergeCells>
  <phoneticPr fontId="1" type="noConversion"/>
  <conditionalFormatting sqref="D2:D33">
    <cfRule type="expression" dxfId="47" priority="530">
      <formula>IF(C2="值日",TRUE, FALSE)</formula>
    </cfRule>
  </conditionalFormatting>
  <conditionalFormatting sqref="E33:G33 F34:G35 E2:E32">
    <cfRule type="expression" dxfId="46" priority="529">
      <formula>IF(FIND("值日",C2),TRUE,FALSE)</formula>
    </cfRule>
  </conditionalFormatting>
  <conditionalFormatting sqref="C2:C32">
    <cfRule type="expression" dxfId="45" priority="528">
      <formula>IF(B2&lt;&gt;" ",TRUE,FALSE)</formula>
    </cfRule>
  </conditionalFormatting>
  <conditionalFormatting sqref="F2:F32">
    <cfRule type="expression" dxfId="44" priority="7">
      <formula>IF(E2="值日",TRUE, FALSE)</formula>
    </cfRule>
  </conditionalFormatting>
  <conditionalFormatting sqref="G2:G32">
    <cfRule type="expression" dxfId="43" priority="6">
      <formula>IF(FIND("值日",E2),TRUE,FALSE)</formula>
    </cfRule>
  </conditionalFormatting>
  <conditionalFormatting sqref="H2:H32">
    <cfRule type="expression" dxfId="42" priority="5">
      <formula>IF(G2="值日",TRUE, FALSE)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複製填假">
                <anchor moveWithCells="1" sizeWithCells="1">
                  <from>
                    <xdr:col>9</xdr:col>
                    <xdr:colOff>400050</xdr:colOff>
                    <xdr:row>9</xdr:row>
                    <xdr:rowOff>38100</xdr:rowOff>
                  </from>
                  <to>
                    <xdr:col>10</xdr:col>
                    <xdr:colOff>828675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存檔關閉並執行程式">
                <anchor moveWithCells="1" sizeWithCells="1">
                  <from>
                    <xdr:col>9</xdr:col>
                    <xdr:colOff>323850</xdr:colOff>
                    <xdr:row>25</xdr:row>
                    <xdr:rowOff>0</xdr:rowOff>
                  </from>
                  <to>
                    <xdr:col>10</xdr:col>
                    <xdr:colOff>752475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5D04D1B-730F-4215-8C4A-6FCACD66C768}">
            <xm:f>IF(C2=假別_設定區!$H$50,TRUE,FALSE)</xm:f>
            <x14:dxf>
              <fill>
                <patternFill>
                  <bgColor theme="8" tint="-0.24994659260841701"/>
                </patternFill>
              </fill>
            </x14:dxf>
          </x14:cfRule>
          <x14:cfRule type="expression" priority="2" id="{8DB62250-8A18-4AC7-8D7D-8A268AE6A364}">
            <xm:f>IF(C2=假別_設定區!$B$50,TRUE,FALSE)</xm:f>
            <x14:dxf>
              <fill>
                <patternFill>
                  <bgColor rgb="FFEB49E3"/>
                </patternFill>
              </fill>
            </x14:dxf>
          </x14:cfRule>
          <x14:cfRule type="expression" priority="3" id="{3D891034-9B06-4628-AC2C-2671FD1930B9}">
            <xm:f>IF(C2=假別_設定區!$H$44,TRUE,FALSE)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4" id="{C75315C2-1C61-427F-AE8E-A3F72F7CEDC0}">
            <xm:f>IF(C2=假別_設定區!$B$44,TRUE,FALSE)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6" id="{CDB695B3-75B7-414D-A722-3348F90CFC93}">
            <xm:f>IF(C2=假別_設定區!$H$38,TRUE,FALSE)</xm:f>
            <x14:dxf>
              <fill>
                <patternFill>
                  <bgColor theme="5" tint="-0.499984740745262"/>
                </patternFill>
              </fill>
            </x14:dxf>
          </x14:cfRule>
          <x14:cfRule type="expression" priority="37" id="{7101A9E6-CD1F-4145-A2A7-EC871C760356}">
            <xm:f>IF(C2=假別_設定區!$B$38,TRUE,FALSE)</xm:f>
            <x14:dxf>
              <fill>
                <patternFill>
                  <bgColor rgb="FFFFFF00"/>
                </patternFill>
              </fill>
            </x14:dxf>
          </x14:cfRule>
          <x14:cfRule type="expression" priority="38" id="{78B36B9E-DA23-438B-9D76-10B30C0E6D2E}">
            <xm:f>IF(C2=假別_設定區!$H$32,TRUE,FALSE)</xm:f>
            <x14:dxf>
              <fill>
                <patternFill>
                  <bgColor rgb="FF7030A0"/>
                </patternFill>
              </fill>
            </x14:dxf>
          </x14:cfRule>
          <x14:cfRule type="expression" priority="40" id="{688ED103-6A90-4B58-A559-CE587F1CE3CF}">
            <xm:f>IF(C2=假別_設定區!$H$26,TRUE,FALSE)</xm:f>
            <x14:dxf>
              <fill>
                <patternFill>
                  <bgColor theme="8" tint="-0.24994659260841701"/>
                </patternFill>
              </fill>
            </x14:dxf>
          </x14:cfRule>
          <x14:cfRule type="expression" priority="41" id="{C760C898-B225-4929-97BB-7A7E8492A4B7}">
            <xm:f>IF(C2=假別_設定區!$H$20,TRUE,FALSE)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42" id="{52E2F269-0C89-4DAF-9731-5F85C624FE44}">
            <xm:f>IF(C2=假別_設定區!$H$14,TRUE,FALSE)</xm:f>
            <x14:dxf>
              <fill>
                <patternFill>
                  <bgColor rgb="FF00B050"/>
                </patternFill>
              </fill>
            </x14:dxf>
          </x14:cfRule>
          <x14:cfRule type="expression" priority="43" id="{5BDFCCDD-C4D6-4C0F-AC2C-A3750EE408FC}">
            <xm:f>IF(C2=假別_設定區!$H$8,TRUE,FALSE)</xm:f>
            <x14:dxf>
              <fill>
                <patternFill>
                  <bgColor rgb="FF00B0F0"/>
                </patternFill>
              </fill>
            </x14:dxf>
          </x14:cfRule>
          <x14:cfRule type="expression" priority="44" id="{A3A12F30-4E74-4FC4-AD45-DC5DE50A2DBB}">
            <xm:f>IF(C2=假別_設定區!$H$2,TRUE,FALSE)</xm:f>
            <x14:dxf>
              <fill>
                <patternFill>
                  <bgColor theme="5" tint="-0.24994659260841701"/>
                </patternFill>
              </fill>
            </x14:dxf>
          </x14:cfRule>
          <x14:cfRule type="expression" priority="45" id="{00000000-000E-0000-0000-0000E2010000}">
            <xm:f>IF(C2=假別_設定區!$B$2,TRUE,FALSE)</xm:f>
            <x14:dxf>
              <fill>
                <patternFill>
                  <bgColor theme="5" tint="0.59996337778862885"/>
                </patternFill>
              </fill>
            </x14:dxf>
          </x14:cfRule>
          <x14:cfRule type="expression" priority="523" id="{00000000-000E-0000-0000-0000E3010000}">
            <xm:f>IF(C2=假別_設定區!$B$8,TRUE,FALSE)</xm:f>
            <x14:dxf>
              <fill>
                <patternFill>
                  <bgColor rgb="FFAFF397"/>
                </patternFill>
              </fill>
            </x14:dxf>
          </x14:cfRule>
          <x14:cfRule type="expression" priority="524" id="{00000000-000E-0000-0000-0000E1010000}">
            <xm:f>IF(C2=假別_設定區!$B$14,TRUE,FALSE)</xm:f>
            <x14:dxf>
              <fill>
                <patternFill>
                  <bgColor theme="4" tint="0.39994506668294322"/>
                </patternFill>
              </fill>
            </x14:dxf>
          </x14:cfRule>
          <x14:cfRule type="expression" priority="525" id="{00000000-000E-0000-0000-0000E0010000}">
            <xm:f>IF(C2=假別_設定區!$B$20,TRUE,FALSE)</xm:f>
            <x14:dxf>
              <fill>
                <patternFill>
                  <bgColor rgb="FFC2C2FA"/>
                </patternFill>
              </fill>
            </x14:dxf>
          </x14:cfRule>
          <x14:cfRule type="expression" priority="526" id="{00000000-000E-0000-0000-0000DE010000}">
            <xm:f>IF(C2=假別_設定區!$B$32,TRUE,FALSE)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527" id="{3C296AC3-8870-472E-A471-251B4C806842}">
            <xm:f>IF(C2=假別_設定區!$B$26,TRUE,FALSE)</xm:f>
            <x14:dxf>
              <fill>
                <patternFill>
                  <bgColor theme="6" tint="0.59996337778862885"/>
                </patternFill>
              </fill>
            </x14:dxf>
          </x14:cfRule>
          <xm:sqref>J15:K23 O2:O32 C2:C32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7FC0C74-9DE7-4A6F-B5B0-6EE72CB71974}">
          <x14:formula1>
            <xm:f>假別_設定區!$P$7:$P$12</xm:f>
          </x14:formula1>
          <xm:sqref>J7</xm:sqref>
        </x14:dataValidation>
        <x14:dataValidation type="list" allowBlank="1" showInputMessage="1" showErrorMessage="1" xr:uid="{55D89F16-2827-4E0A-B944-8438200158FF}">
          <x14:formula1>
            <xm:f>假別_設定區!$R$7:$R$9</xm:f>
          </x14:formula1>
          <xm:sqref>J8:K8</xm:sqref>
        </x14:dataValidation>
        <x14:dataValidation type="list" allowBlank="1" showInputMessage="1" showErrorMessage="1" xr:uid="{CE108297-F397-4577-9F35-148016839742}">
          <x14:formula1>
            <xm:f>假別_設定區!$T$7:$T$18</xm:f>
          </x14:formula1>
          <xm:sqref>J6:K6</xm:sqref>
        </x14:dataValidation>
        <x14:dataValidation type="list" allowBlank="1" showInputMessage="1" showErrorMessage="1" xr:uid="{001D3531-EA42-4074-9BCC-E4939F315281}">
          <x14:formula1>
            <xm:f>假別_設定區!$Q$7:$Q$24</xm:f>
          </x14:formula1>
          <xm:sqref>C2:C32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A2D4-8EEF-425A-A637-1CECD732345D}">
  <sheetPr codeName="工作表3">
    <tabColor theme="9" tint="0.59999389629810485"/>
  </sheetPr>
  <dimension ref="A1:T689"/>
  <sheetViews>
    <sheetView zoomScaleNormal="100" workbookViewId="0">
      <selection activeCell="H50" sqref="H50"/>
    </sheetView>
  </sheetViews>
  <sheetFormatPr defaultRowHeight="15.75" customHeight="1" x14ac:dyDescent="0.4"/>
  <cols>
    <col min="1" max="1" width="2.42578125" style="16" customWidth="1"/>
    <col min="2" max="2" width="13.140625" style="15" customWidth="1"/>
    <col min="3" max="3" width="9.140625" style="17"/>
    <col min="4" max="4" width="13.140625" style="15" customWidth="1"/>
    <col min="5" max="6" width="5.7109375" style="15" customWidth="1"/>
    <col min="7" max="7" width="2.42578125" style="16" customWidth="1"/>
    <col min="8" max="8" width="13.140625" style="15" customWidth="1"/>
    <col min="9" max="9" width="9.140625" style="15"/>
    <col min="10" max="10" width="13.140625" style="15" customWidth="1"/>
    <col min="11" max="12" width="5.7109375" style="15" customWidth="1"/>
    <col min="13" max="13" width="2.42578125" style="16" customWidth="1"/>
    <col min="14" max="14" width="3.7109375" style="15" customWidth="1"/>
    <col min="15" max="15" width="69.85546875" style="15" customWidth="1"/>
    <col min="16" max="18" width="9.140625" style="15"/>
    <col min="19" max="19" width="13.85546875" style="15" bestFit="1" customWidth="1"/>
    <col min="20" max="16384" width="9.140625" style="15"/>
  </cols>
  <sheetData>
    <row r="1" spans="1:20" s="19" customFormat="1" ht="36.75" customHeight="1" thickBot="1" x14ac:dyDescent="0.5">
      <c r="A1" s="12"/>
      <c r="B1" s="86" t="s">
        <v>243</v>
      </c>
      <c r="C1" s="86"/>
      <c r="D1" s="86"/>
      <c r="E1" s="86"/>
      <c r="F1" s="86"/>
      <c r="G1" s="36"/>
      <c r="H1" s="86" t="s">
        <v>31</v>
      </c>
      <c r="I1" s="86"/>
      <c r="J1" s="86"/>
      <c r="K1" s="86"/>
      <c r="L1" s="86"/>
      <c r="M1" s="12"/>
    </row>
    <row r="2" spans="1:20" s="11" customFormat="1" ht="15.75" customHeight="1" x14ac:dyDescent="0.45">
      <c r="A2" s="13">
        <v>1</v>
      </c>
      <c r="B2" s="33" t="s">
        <v>5</v>
      </c>
      <c r="C2" s="2" t="s">
        <v>10</v>
      </c>
      <c r="D2" s="53" t="s">
        <v>11</v>
      </c>
      <c r="E2" s="53" t="s">
        <v>108</v>
      </c>
      <c r="F2" s="53" t="s">
        <v>108</v>
      </c>
      <c r="G2" s="13">
        <v>1</v>
      </c>
      <c r="H2" s="26" t="s">
        <v>14</v>
      </c>
      <c r="I2" s="2" t="s">
        <v>15</v>
      </c>
      <c r="J2" s="11" t="s">
        <v>14</v>
      </c>
      <c r="M2" s="13">
        <v>1</v>
      </c>
      <c r="O2" s="54" t="s">
        <v>69</v>
      </c>
    </row>
    <row r="3" spans="1:20" s="11" customFormat="1" ht="15.75" customHeight="1" x14ac:dyDescent="0.4">
      <c r="A3" s="14">
        <v>2</v>
      </c>
      <c r="B3" s="32"/>
      <c r="C3" s="2"/>
      <c r="D3" s="52"/>
      <c r="E3" s="52"/>
      <c r="F3" s="52"/>
      <c r="G3" s="14">
        <v>2</v>
      </c>
      <c r="I3" s="2"/>
      <c r="M3" s="14">
        <v>2</v>
      </c>
      <c r="N3" s="20"/>
      <c r="O3" s="46" t="s">
        <v>67</v>
      </c>
    </row>
    <row r="4" spans="1:20" s="11" customFormat="1" ht="15.75" customHeight="1" x14ac:dyDescent="0.4">
      <c r="A4" s="14">
        <v>3</v>
      </c>
      <c r="B4" s="32"/>
      <c r="C4" s="2"/>
      <c r="G4" s="14">
        <v>3</v>
      </c>
      <c r="I4" s="2"/>
      <c r="M4" s="14">
        <v>3</v>
      </c>
      <c r="N4" s="20"/>
      <c r="O4" s="46" t="s">
        <v>68</v>
      </c>
    </row>
    <row r="5" spans="1:20" s="11" customFormat="1" ht="15.75" customHeight="1" x14ac:dyDescent="0.4">
      <c r="A5" s="14">
        <v>4</v>
      </c>
      <c r="B5" s="32"/>
      <c r="C5" s="2"/>
      <c r="G5" s="14">
        <v>4</v>
      </c>
      <c r="I5" s="2"/>
      <c r="M5" s="14">
        <v>4</v>
      </c>
      <c r="N5" s="20"/>
      <c r="O5" s="46" t="s">
        <v>110</v>
      </c>
    </row>
    <row r="6" spans="1:20" s="11" customFormat="1" ht="15.75" customHeight="1" thickBot="1" x14ac:dyDescent="0.45">
      <c r="A6" s="14">
        <v>5</v>
      </c>
      <c r="B6" s="32"/>
      <c r="C6" s="2"/>
      <c r="G6" s="14">
        <v>5</v>
      </c>
      <c r="I6" s="2"/>
      <c r="M6" s="14">
        <v>5</v>
      </c>
      <c r="N6" s="20"/>
      <c r="O6" s="47" t="s">
        <v>119</v>
      </c>
    </row>
    <row r="7" spans="1:20" s="11" customFormat="1" ht="15.75" customHeight="1" x14ac:dyDescent="0.4">
      <c r="A7" s="14">
        <v>6</v>
      </c>
      <c r="B7" s="32"/>
      <c r="C7" s="3"/>
      <c r="D7" s="4"/>
      <c r="E7" s="4"/>
      <c r="F7" s="4"/>
      <c r="G7" s="14">
        <v>6</v>
      </c>
      <c r="I7" s="4"/>
      <c r="J7" s="4"/>
      <c r="K7" s="4"/>
      <c r="L7" s="4"/>
      <c r="M7" s="14">
        <v>6</v>
      </c>
      <c r="N7" s="20"/>
      <c r="O7" s="11" t="s">
        <v>40</v>
      </c>
      <c r="P7" s="11" t="s">
        <v>34</v>
      </c>
      <c r="Q7" s="11" t="str" cm="1">
        <f t="array" ref="Q7:Q15">_xlfn._xlws.FILTER(假別_設定區!$B$2:$B$55,假別_設定區!$B$2:$B$55&lt;&gt;"")</f>
        <v>值日</v>
      </c>
      <c r="R7" s="11" t="s">
        <v>238</v>
      </c>
      <c r="S7" s="11" t="s">
        <v>102</v>
      </c>
      <c r="T7" s="67">
        <v>1</v>
      </c>
    </row>
    <row r="8" spans="1:20" s="11" customFormat="1" ht="15.75" customHeight="1" x14ac:dyDescent="0.4">
      <c r="A8" s="14">
        <v>1</v>
      </c>
      <c r="B8" s="49" t="s">
        <v>3</v>
      </c>
      <c r="C8" s="2" t="s">
        <v>15</v>
      </c>
      <c r="D8" s="2" t="s">
        <v>120</v>
      </c>
      <c r="G8" s="14">
        <v>1</v>
      </c>
      <c r="H8" s="27" t="s">
        <v>249</v>
      </c>
      <c r="I8" s="2" t="s">
        <v>66</v>
      </c>
      <c r="J8" s="11" t="s">
        <v>122</v>
      </c>
      <c r="K8" s="11">
        <v>8</v>
      </c>
      <c r="L8" s="11">
        <v>12</v>
      </c>
      <c r="M8" s="14">
        <v>1</v>
      </c>
      <c r="P8" s="20" t="s">
        <v>35</v>
      </c>
      <c r="Q8" s="11" t="str">
        <v>日班</v>
      </c>
      <c r="R8" s="11" t="s">
        <v>239</v>
      </c>
      <c r="T8" s="67">
        <v>2</v>
      </c>
    </row>
    <row r="9" spans="1:20" s="11" customFormat="1" ht="15.75" customHeight="1" x14ac:dyDescent="0.4">
      <c r="A9" s="14">
        <v>2</v>
      </c>
      <c r="B9" s="15"/>
      <c r="C9" s="2"/>
      <c r="G9" s="14">
        <v>2</v>
      </c>
      <c r="I9" s="2" t="s">
        <v>66</v>
      </c>
      <c r="J9" s="11" t="s">
        <v>123</v>
      </c>
      <c r="K9" s="11">
        <v>12</v>
      </c>
      <c r="L9" s="11">
        <v>14</v>
      </c>
      <c r="M9" s="14">
        <v>2</v>
      </c>
      <c r="P9" s="20" t="s">
        <v>36</v>
      </c>
      <c r="Q9" s="11" t="str">
        <v>輪休</v>
      </c>
      <c r="R9" s="11" t="s">
        <v>244</v>
      </c>
      <c r="T9" s="67">
        <v>3</v>
      </c>
    </row>
    <row r="10" spans="1:20" s="11" customFormat="1" ht="15.75" customHeight="1" x14ac:dyDescent="0.4">
      <c r="A10" s="14">
        <v>3</v>
      </c>
      <c r="B10" s="15"/>
      <c r="C10" s="2"/>
      <c r="G10" s="14">
        <v>3</v>
      </c>
      <c r="I10" s="2" t="s">
        <v>10</v>
      </c>
      <c r="J10" s="11" t="s">
        <v>237</v>
      </c>
      <c r="K10" s="11">
        <v>14</v>
      </c>
      <c r="L10" s="11">
        <v>18</v>
      </c>
      <c r="M10" s="14">
        <v>3</v>
      </c>
      <c r="P10" s="20" t="s">
        <v>37</v>
      </c>
      <c r="Q10" s="11" t="str">
        <v>局補</v>
      </c>
      <c r="T10" s="67">
        <v>4</v>
      </c>
    </row>
    <row r="11" spans="1:20" s="11" customFormat="1" ht="15.75" customHeight="1" x14ac:dyDescent="0.4">
      <c r="A11" s="14">
        <v>4</v>
      </c>
      <c r="B11" s="15"/>
      <c r="C11" s="2"/>
      <c r="G11" s="14">
        <v>4</v>
      </c>
      <c r="I11" s="2" t="s">
        <v>10</v>
      </c>
      <c r="J11" s="11" t="s">
        <v>11</v>
      </c>
      <c r="K11" s="11">
        <v>18</v>
      </c>
      <c r="L11" s="11">
        <v>19</v>
      </c>
      <c r="M11" s="14">
        <v>4</v>
      </c>
      <c r="P11" s="11" t="s">
        <v>38</v>
      </c>
      <c r="Q11" s="11" t="str">
        <v>補休-安檢</v>
      </c>
      <c r="T11" s="67">
        <v>5</v>
      </c>
    </row>
    <row r="12" spans="1:20" s="11" customFormat="1" ht="15.75" customHeight="1" x14ac:dyDescent="0.4">
      <c r="A12" s="14">
        <v>5</v>
      </c>
      <c r="B12" s="15"/>
      <c r="C12" s="2"/>
      <c r="G12" s="14">
        <v>5</v>
      </c>
      <c r="I12" s="2" t="s">
        <v>10</v>
      </c>
      <c r="J12" s="11" t="s">
        <v>237</v>
      </c>
      <c r="K12" s="11">
        <v>19</v>
      </c>
      <c r="L12" s="11">
        <v>21</v>
      </c>
      <c r="M12" s="14">
        <v>5</v>
      </c>
      <c r="P12" s="11" t="s">
        <v>39</v>
      </c>
      <c r="Q12" s="11" t="str">
        <v>補休-外勤</v>
      </c>
      <c r="T12" s="67">
        <v>6</v>
      </c>
    </row>
    <row r="13" spans="1:20" s="11" customFormat="1" ht="15.75" customHeight="1" x14ac:dyDescent="0.4">
      <c r="A13" s="14">
        <v>6</v>
      </c>
      <c r="B13" s="15"/>
      <c r="C13" s="3"/>
      <c r="D13" s="4"/>
      <c r="E13" s="4"/>
      <c r="F13" s="4"/>
      <c r="G13" s="14">
        <v>6</v>
      </c>
      <c r="I13" s="3" t="s">
        <v>10</v>
      </c>
      <c r="J13" s="4" t="s">
        <v>11</v>
      </c>
      <c r="K13" s="4">
        <v>21</v>
      </c>
      <c r="L13" s="4">
        <v>8</v>
      </c>
      <c r="M13" s="14">
        <v>6</v>
      </c>
      <c r="Q13" s="11" t="str">
        <v>請休</v>
      </c>
      <c r="T13" s="67">
        <v>7</v>
      </c>
    </row>
    <row r="14" spans="1:20" s="11" customFormat="1" ht="15.75" customHeight="1" x14ac:dyDescent="0.4">
      <c r="A14" s="14">
        <v>1</v>
      </c>
      <c r="B14" s="50" t="s">
        <v>7</v>
      </c>
      <c r="C14" s="2" t="s">
        <v>12</v>
      </c>
      <c r="D14" s="11" t="s">
        <v>7</v>
      </c>
      <c r="G14" s="14">
        <v>1</v>
      </c>
      <c r="H14" s="28" t="s">
        <v>250</v>
      </c>
      <c r="I14" s="2" t="s">
        <v>10</v>
      </c>
      <c r="J14" s="11" t="s">
        <v>237</v>
      </c>
      <c r="K14" s="11">
        <v>8</v>
      </c>
      <c r="L14" s="11">
        <v>12</v>
      </c>
      <c r="M14" s="14">
        <v>1</v>
      </c>
      <c r="Q14" s="11" t="str">
        <v>身心調適假</v>
      </c>
      <c r="T14" s="67">
        <v>8</v>
      </c>
    </row>
    <row r="15" spans="1:20" s="11" customFormat="1" ht="15.75" customHeight="1" x14ac:dyDescent="0.4">
      <c r="A15" s="14">
        <v>2</v>
      </c>
      <c r="B15" s="15"/>
      <c r="C15" s="2"/>
      <c r="G15" s="14">
        <v>2</v>
      </c>
      <c r="I15" s="2" t="s">
        <v>10</v>
      </c>
      <c r="J15" s="11" t="s">
        <v>11</v>
      </c>
      <c r="K15" s="11">
        <v>12</v>
      </c>
      <c r="L15" s="11">
        <v>14</v>
      </c>
      <c r="M15" s="14">
        <v>2</v>
      </c>
      <c r="Q15" s="11" t="str">
        <v>家庭照顧假</v>
      </c>
      <c r="T15" s="67">
        <v>9</v>
      </c>
    </row>
    <row r="16" spans="1:20" s="11" customFormat="1" ht="15.75" customHeight="1" x14ac:dyDescent="0.4">
      <c r="A16" s="14">
        <v>3</v>
      </c>
      <c r="B16" s="15"/>
      <c r="C16" s="2"/>
      <c r="G16" s="14">
        <v>3</v>
      </c>
      <c r="I16" s="2" t="s">
        <v>10</v>
      </c>
      <c r="J16" s="11" t="s">
        <v>237</v>
      </c>
      <c r="K16" s="11">
        <v>14</v>
      </c>
      <c r="L16" s="11">
        <v>18</v>
      </c>
      <c r="M16" s="14">
        <v>3</v>
      </c>
      <c r="Q16" s="64" t="str" cm="1">
        <f t="array" ref="Q16:Q24">_xlfn._xlws.FILTER(假別_設定區!$H$2:$H$55,假別_設定區!$H$2:$H$55&lt;&gt;"")</f>
        <v>婚假</v>
      </c>
      <c r="T16" s="67">
        <v>10</v>
      </c>
    </row>
    <row r="17" spans="1:20" s="11" customFormat="1" ht="15.75" customHeight="1" x14ac:dyDescent="0.4">
      <c r="A17" s="14">
        <v>4</v>
      </c>
      <c r="B17" s="15"/>
      <c r="C17" s="2"/>
      <c r="G17" s="14">
        <v>4</v>
      </c>
      <c r="I17" s="2" t="s">
        <v>10</v>
      </c>
      <c r="J17" s="11" t="s">
        <v>11</v>
      </c>
      <c r="K17" s="11">
        <v>18</v>
      </c>
      <c r="L17" s="11">
        <v>8</v>
      </c>
      <c r="M17" s="14">
        <v>4</v>
      </c>
      <c r="Q17" s="11" t="str">
        <v>集訓</v>
      </c>
      <c r="T17" s="67">
        <v>11</v>
      </c>
    </row>
    <row r="18" spans="1:20" s="11" customFormat="1" ht="15.75" customHeight="1" x14ac:dyDescent="0.4">
      <c r="A18" s="14">
        <v>5</v>
      </c>
      <c r="B18" s="15"/>
      <c r="C18" s="2"/>
      <c r="G18" s="14">
        <v>5</v>
      </c>
      <c r="I18" s="2"/>
      <c r="M18" s="14">
        <v>5</v>
      </c>
      <c r="Q18" s="11" t="str">
        <v>集訓外宿</v>
      </c>
      <c r="T18" s="67">
        <v>12</v>
      </c>
    </row>
    <row r="19" spans="1:20" s="11" customFormat="1" ht="15.75" customHeight="1" x14ac:dyDescent="0.4">
      <c r="A19" s="14">
        <v>6</v>
      </c>
      <c r="B19" s="15"/>
      <c r="C19" s="2"/>
      <c r="D19" s="4"/>
      <c r="E19" s="4"/>
      <c r="F19" s="4"/>
      <c r="G19" s="14">
        <v>6</v>
      </c>
      <c r="I19" s="3"/>
      <c r="J19" s="4"/>
      <c r="K19" s="4"/>
      <c r="L19" s="4"/>
      <c r="M19" s="14">
        <v>6</v>
      </c>
      <c r="Q19" s="11" t="str">
        <v>.</v>
      </c>
      <c r="T19" s="64"/>
    </row>
    <row r="20" spans="1:20" s="11" customFormat="1" ht="15.75" customHeight="1" x14ac:dyDescent="0.4">
      <c r="A20" s="14">
        <v>1</v>
      </c>
      <c r="B20" s="48" t="s">
        <v>8</v>
      </c>
      <c r="C20" s="2" t="s">
        <v>12</v>
      </c>
      <c r="D20" s="11" t="s">
        <v>13</v>
      </c>
      <c r="G20" s="14">
        <v>1</v>
      </c>
      <c r="H20" s="29" t="s">
        <v>252</v>
      </c>
      <c r="I20" s="2"/>
      <c r="M20" s="14">
        <v>1</v>
      </c>
      <c r="Q20" s="11" t="str">
        <v>..</v>
      </c>
    </row>
    <row r="21" spans="1:20" s="11" customFormat="1" ht="15.75" customHeight="1" x14ac:dyDescent="0.4">
      <c r="A21" s="14">
        <v>2</v>
      </c>
      <c r="B21" s="15"/>
      <c r="C21" s="2"/>
      <c r="G21" s="14">
        <v>2</v>
      </c>
      <c r="I21" s="2"/>
      <c r="J21" s="63"/>
      <c r="K21" s="63"/>
      <c r="L21" s="63"/>
      <c r="M21" s="14">
        <v>2</v>
      </c>
      <c r="Q21" s="11" t="str">
        <v>…</v>
      </c>
    </row>
    <row r="22" spans="1:20" s="11" customFormat="1" ht="15.75" customHeight="1" x14ac:dyDescent="0.4">
      <c r="A22" s="14">
        <v>3</v>
      </c>
      <c r="B22" s="15"/>
      <c r="C22" s="9"/>
      <c r="D22" s="10"/>
      <c r="E22" s="10"/>
      <c r="G22" s="14">
        <v>3</v>
      </c>
      <c r="I22" s="2"/>
      <c r="J22" s="66"/>
      <c r="K22" s="66"/>
      <c r="L22" s="66"/>
      <c r="M22" s="14">
        <v>3</v>
      </c>
      <c r="Q22" s="11" t="str">
        <v>….</v>
      </c>
    </row>
    <row r="23" spans="1:20" s="11" customFormat="1" ht="15.75" customHeight="1" x14ac:dyDescent="0.4">
      <c r="A23" s="14">
        <v>4</v>
      </c>
      <c r="B23" s="15"/>
      <c r="C23" s="2"/>
      <c r="G23" s="14">
        <v>4</v>
      </c>
      <c r="I23" s="2"/>
      <c r="J23" s="66"/>
      <c r="K23" s="66"/>
      <c r="L23" s="66"/>
      <c r="M23" s="14">
        <v>4</v>
      </c>
      <c r="Q23" s="11" t="str">
        <v>…..</v>
      </c>
    </row>
    <row r="24" spans="1:20" s="11" customFormat="1" ht="15.75" customHeight="1" x14ac:dyDescent="0.4">
      <c r="A24" s="14">
        <v>5</v>
      </c>
      <c r="B24" s="15"/>
      <c r="C24" s="2"/>
      <c r="G24" s="14">
        <v>5</v>
      </c>
      <c r="I24" s="2"/>
      <c r="J24" s="66"/>
      <c r="K24" s="66"/>
      <c r="L24" s="66"/>
      <c r="M24" s="14">
        <v>5</v>
      </c>
      <c r="Q24" s="11" t="str">
        <v>……</v>
      </c>
    </row>
    <row r="25" spans="1:20" s="11" customFormat="1" ht="15.75" customHeight="1" x14ac:dyDescent="0.4">
      <c r="A25" s="14">
        <v>6</v>
      </c>
      <c r="B25" s="15"/>
      <c r="C25" s="3"/>
      <c r="D25" s="4"/>
      <c r="E25" s="4"/>
      <c r="F25" s="4"/>
      <c r="G25" s="14">
        <v>6</v>
      </c>
      <c r="I25" s="3"/>
      <c r="J25" s="4"/>
      <c r="K25" s="4"/>
      <c r="L25" s="4"/>
      <c r="M25" s="14">
        <v>6</v>
      </c>
    </row>
    <row r="26" spans="1:20" s="11" customFormat="1" ht="15.75" customHeight="1" x14ac:dyDescent="0.4">
      <c r="A26" s="14">
        <v>1</v>
      </c>
      <c r="B26" s="34" t="s">
        <v>240</v>
      </c>
      <c r="C26" s="2" t="s">
        <v>12</v>
      </c>
      <c r="D26" s="11" t="s">
        <v>121</v>
      </c>
      <c r="G26" s="14">
        <v>1</v>
      </c>
      <c r="H26" s="30" t="s">
        <v>248</v>
      </c>
      <c r="I26" s="2"/>
      <c r="J26" s="61"/>
      <c r="M26" s="14">
        <v>1</v>
      </c>
    </row>
    <row r="27" spans="1:20" s="11" customFormat="1" ht="15.75" customHeight="1" x14ac:dyDescent="0.4">
      <c r="A27" s="14">
        <v>2</v>
      </c>
      <c r="B27" s="15"/>
      <c r="C27" s="2"/>
      <c r="G27" s="14">
        <v>2</v>
      </c>
      <c r="I27" s="2"/>
      <c r="J27" s="63"/>
      <c r="K27" s="63"/>
      <c r="L27" s="63"/>
      <c r="M27" s="14">
        <v>2</v>
      </c>
    </row>
    <row r="28" spans="1:20" s="11" customFormat="1" ht="15.75" customHeight="1" x14ac:dyDescent="0.4">
      <c r="A28" s="14">
        <v>3</v>
      </c>
      <c r="B28" s="15"/>
      <c r="C28" s="2"/>
      <c r="G28" s="14">
        <v>3</v>
      </c>
      <c r="I28" s="2"/>
      <c r="J28" s="61"/>
      <c r="M28" s="14">
        <v>3</v>
      </c>
    </row>
    <row r="29" spans="1:20" s="11" customFormat="1" ht="15.75" customHeight="1" x14ac:dyDescent="0.4">
      <c r="A29" s="14">
        <v>4</v>
      </c>
      <c r="B29" s="15"/>
      <c r="C29" s="2"/>
      <c r="G29" s="14">
        <v>4</v>
      </c>
      <c r="I29" s="2"/>
      <c r="J29" s="63"/>
      <c r="K29" s="63"/>
      <c r="L29" s="63"/>
      <c r="M29" s="14">
        <v>4</v>
      </c>
    </row>
    <row r="30" spans="1:20" s="11" customFormat="1" ht="15.75" customHeight="1" x14ac:dyDescent="0.4">
      <c r="A30" s="14">
        <v>5</v>
      </c>
      <c r="B30" s="15"/>
      <c r="C30" s="2"/>
      <c r="G30" s="14">
        <v>5</v>
      </c>
      <c r="I30" s="2"/>
      <c r="J30" s="61"/>
      <c r="M30" s="14">
        <v>5</v>
      </c>
    </row>
    <row r="31" spans="1:20" s="11" customFormat="1" ht="15.75" customHeight="1" x14ac:dyDescent="0.4">
      <c r="A31" s="14">
        <v>6</v>
      </c>
      <c r="B31" s="15"/>
      <c r="C31" s="3"/>
      <c r="D31" s="4"/>
      <c r="E31" s="4"/>
      <c r="F31" s="4"/>
      <c r="G31" s="14">
        <v>6</v>
      </c>
      <c r="I31" s="2"/>
      <c r="J31" s="63"/>
      <c r="K31" s="63"/>
      <c r="L31" s="63"/>
      <c r="M31" s="14">
        <v>6</v>
      </c>
    </row>
    <row r="32" spans="1:20" s="11" customFormat="1" ht="15.75" customHeight="1" x14ac:dyDescent="0.4">
      <c r="A32" s="14">
        <v>1</v>
      </c>
      <c r="B32" s="35" t="s">
        <v>241</v>
      </c>
      <c r="C32" s="2" t="s">
        <v>12</v>
      </c>
      <c r="D32" s="11" t="s">
        <v>242</v>
      </c>
      <c r="G32" s="14">
        <v>1</v>
      </c>
      <c r="H32" s="31" t="s">
        <v>246</v>
      </c>
      <c r="I32" s="2"/>
      <c r="J32" s="61"/>
      <c r="M32" s="14">
        <v>1</v>
      </c>
    </row>
    <row r="33" spans="1:13" s="11" customFormat="1" ht="15" customHeight="1" x14ac:dyDescent="0.4">
      <c r="A33" s="14">
        <v>2</v>
      </c>
      <c r="B33" s="15"/>
      <c r="C33" s="2"/>
      <c r="G33" s="14">
        <v>2</v>
      </c>
      <c r="I33" s="2"/>
      <c r="J33" s="63"/>
      <c r="M33" s="14">
        <v>2</v>
      </c>
    </row>
    <row r="34" spans="1:13" s="11" customFormat="1" ht="15.75" customHeight="1" x14ac:dyDescent="0.4">
      <c r="A34" s="14">
        <v>3</v>
      </c>
      <c r="B34" s="15"/>
      <c r="C34" s="2"/>
      <c r="G34" s="14">
        <v>3</v>
      </c>
      <c r="I34" s="2"/>
      <c r="M34" s="14">
        <v>3</v>
      </c>
    </row>
    <row r="35" spans="1:13" s="11" customFormat="1" ht="15.75" customHeight="1" x14ac:dyDescent="0.4">
      <c r="A35" s="14">
        <v>4</v>
      </c>
      <c r="B35" s="15"/>
      <c r="C35" s="2"/>
      <c r="G35" s="14">
        <v>4</v>
      </c>
      <c r="I35" s="2"/>
      <c r="M35" s="14">
        <v>4</v>
      </c>
    </row>
    <row r="36" spans="1:13" s="11" customFormat="1" ht="15.75" customHeight="1" x14ac:dyDescent="0.4">
      <c r="A36" s="14">
        <v>5</v>
      </c>
      <c r="B36" s="15"/>
      <c r="C36" s="2"/>
      <c r="G36" s="14">
        <v>5</v>
      </c>
      <c r="I36" s="2"/>
      <c r="M36" s="14">
        <v>5</v>
      </c>
    </row>
    <row r="37" spans="1:13" s="11" customFormat="1" ht="15.75" customHeight="1" x14ac:dyDescent="0.4">
      <c r="A37" s="14">
        <v>6</v>
      </c>
      <c r="B37" s="15"/>
      <c r="C37" s="3"/>
      <c r="D37" s="4"/>
      <c r="E37" s="4"/>
      <c r="F37" s="4"/>
      <c r="G37" s="14">
        <v>6</v>
      </c>
      <c r="I37" s="3"/>
      <c r="J37" s="4"/>
      <c r="K37" s="4"/>
      <c r="L37" s="4"/>
      <c r="M37" s="14">
        <v>6</v>
      </c>
    </row>
    <row r="38" spans="1:13" s="66" customFormat="1" ht="15.75" customHeight="1" x14ac:dyDescent="0.4">
      <c r="A38" s="14">
        <v>1</v>
      </c>
      <c r="B38" s="88" t="s">
        <v>9</v>
      </c>
      <c r="C38" s="2" t="s">
        <v>12</v>
      </c>
      <c r="D38" s="66" t="s">
        <v>9</v>
      </c>
      <c r="G38" s="14">
        <v>1</v>
      </c>
      <c r="H38" s="89" t="s">
        <v>251</v>
      </c>
      <c r="I38" s="2"/>
      <c r="M38" s="14">
        <v>1</v>
      </c>
    </row>
    <row r="39" spans="1:13" s="66" customFormat="1" ht="15" customHeight="1" x14ac:dyDescent="0.4">
      <c r="A39" s="14">
        <v>2</v>
      </c>
      <c r="B39" s="15"/>
      <c r="C39" s="2"/>
      <c r="G39" s="14">
        <v>2</v>
      </c>
      <c r="I39" s="2"/>
      <c r="M39" s="14">
        <v>2</v>
      </c>
    </row>
    <row r="40" spans="1:13" s="66" customFormat="1" ht="15.75" customHeight="1" x14ac:dyDescent="0.4">
      <c r="A40" s="14">
        <v>3</v>
      </c>
      <c r="B40" s="15"/>
      <c r="C40" s="2"/>
      <c r="G40" s="14">
        <v>3</v>
      </c>
      <c r="I40" s="2"/>
      <c r="M40" s="14">
        <v>3</v>
      </c>
    </row>
    <row r="41" spans="1:13" s="66" customFormat="1" ht="15.75" customHeight="1" x14ac:dyDescent="0.4">
      <c r="A41" s="14">
        <v>4</v>
      </c>
      <c r="B41" s="15"/>
      <c r="C41" s="2"/>
      <c r="G41" s="14">
        <v>4</v>
      </c>
      <c r="I41" s="2"/>
      <c r="M41" s="14">
        <v>4</v>
      </c>
    </row>
    <row r="42" spans="1:13" s="66" customFormat="1" ht="15.75" customHeight="1" x14ac:dyDescent="0.4">
      <c r="A42" s="14">
        <v>5</v>
      </c>
      <c r="B42" s="15"/>
      <c r="C42" s="2"/>
      <c r="G42" s="14">
        <v>5</v>
      </c>
      <c r="I42" s="2"/>
      <c r="M42" s="14">
        <v>5</v>
      </c>
    </row>
    <row r="43" spans="1:13" s="66" customFormat="1" ht="15.75" customHeight="1" x14ac:dyDescent="0.4">
      <c r="A43" s="14">
        <v>6</v>
      </c>
      <c r="B43" s="15"/>
      <c r="C43" s="3"/>
      <c r="D43" s="4"/>
      <c r="E43" s="4"/>
      <c r="F43" s="4"/>
      <c r="G43" s="14">
        <v>6</v>
      </c>
      <c r="I43" s="3"/>
      <c r="J43" s="4"/>
      <c r="K43" s="4"/>
      <c r="L43" s="4"/>
      <c r="M43" s="14">
        <v>6</v>
      </c>
    </row>
    <row r="44" spans="1:13" s="66" customFormat="1" ht="15.75" customHeight="1" x14ac:dyDescent="0.4">
      <c r="A44" s="14">
        <v>1</v>
      </c>
      <c r="B44" s="87" t="s">
        <v>234</v>
      </c>
      <c r="C44" s="2" t="s">
        <v>15</v>
      </c>
      <c r="D44" s="66" t="s">
        <v>234</v>
      </c>
      <c r="G44" s="14">
        <v>1</v>
      </c>
      <c r="H44" s="38" t="s">
        <v>65</v>
      </c>
      <c r="I44" s="2"/>
      <c r="M44" s="14">
        <v>1</v>
      </c>
    </row>
    <row r="45" spans="1:13" s="66" customFormat="1" ht="15" customHeight="1" x14ac:dyDescent="0.4">
      <c r="A45" s="14">
        <v>2</v>
      </c>
      <c r="B45" s="15"/>
      <c r="C45" s="2"/>
      <c r="G45" s="14">
        <v>2</v>
      </c>
      <c r="I45" s="2"/>
      <c r="M45" s="14">
        <v>2</v>
      </c>
    </row>
    <row r="46" spans="1:13" s="66" customFormat="1" ht="15.75" customHeight="1" x14ac:dyDescent="0.4">
      <c r="A46" s="14">
        <v>3</v>
      </c>
      <c r="B46" s="15"/>
      <c r="C46" s="2"/>
      <c r="G46" s="14">
        <v>3</v>
      </c>
      <c r="I46" s="2"/>
      <c r="M46" s="14">
        <v>3</v>
      </c>
    </row>
    <row r="47" spans="1:13" s="66" customFormat="1" ht="15.75" customHeight="1" x14ac:dyDescent="0.4">
      <c r="A47" s="14">
        <v>4</v>
      </c>
      <c r="B47" s="15"/>
      <c r="C47" s="2"/>
      <c r="G47" s="14">
        <v>4</v>
      </c>
      <c r="I47" s="2"/>
      <c r="M47" s="14">
        <v>4</v>
      </c>
    </row>
    <row r="48" spans="1:13" s="66" customFormat="1" ht="15.75" customHeight="1" x14ac:dyDescent="0.4">
      <c r="A48" s="14">
        <v>5</v>
      </c>
      <c r="B48" s="15"/>
      <c r="C48" s="2"/>
      <c r="G48" s="14">
        <v>5</v>
      </c>
      <c r="I48" s="2"/>
      <c r="M48" s="14">
        <v>5</v>
      </c>
    </row>
    <row r="49" spans="1:13" s="66" customFormat="1" ht="15.75" customHeight="1" x14ac:dyDescent="0.4">
      <c r="A49" s="14">
        <v>6</v>
      </c>
      <c r="B49" s="15"/>
      <c r="C49" s="3"/>
      <c r="D49" s="4"/>
      <c r="E49" s="4"/>
      <c r="F49" s="4"/>
      <c r="G49" s="14">
        <v>6</v>
      </c>
      <c r="I49" s="3"/>
      <c r="J49" s="4"/>
      <c r="K49" s="4"/>
      <c r="L49" s="4"/>
      <c r="M49" s="14">
        <v>6</v>
      </c>
    </row>
    <row r="50" spans="1:13" s="66" customFormat="1" ht="13.9" x14ac:dyDescent="0.4">
      <c r="A50" s="14">
        <v>1</v>
      </c>
      <c r="B50" s="39" t="s">
        <v>233</v>
      </c>
      <c r="C50" s="2" t="s">
        <v>15</v>
      </c>
      <c r="D50" s="66" t="s">
        <v>233</v>
      </c>
      <c r="G50" s="14">
        <v>1</v>
      </c>
      <c r="H50" s="90" t="s">
        <v>236</v>
      </c>
      <c r="I50" s="2"/>
      <c r="M50" s="14">
        <v>1</v>
      </c>
    </row>
    <row r="51" spans="1:13" ht="15.75" customHeight="1" x14ac:dyDescent="0.4">
      <c r="A51" s="14">
        <v>2</v>
      </c>
      <c r="C51" s="2"/>
      <c r="D51" s="66"/>
      <c r="E51" s="66"/>
      <c r="F51" s="66"/>
      <c r="G51" s="14">
        <v>2</v>
      </c>
      <c r="H51" s="66"/>
      <c r="I51" s="2"/>
      <c r="J51" s="66"/>
      <c r="K51" s="66"/>
      <c r="L51" s="66"/>
      <c r="M51" s="14">
        <v>2</v>
      </c>
    </row>
    <row r="52" spans="1:13" ht="15.75" customHeight="1" x14ac:dyDescent="0.4">
      <c r="A52" s="14">
        <v>3</v>
      </c>
      <c r="C52" s="2"/>
      <c r="D52" s="66"/>
      <c r="E52" s="66"/>
      <c r="F52" s="66"/>
      <c r="G52" s="14">
        <v>3</v>
      </c>
      <c r="H52" s="66"/>
      <c r="I52" s="2"/>
      <c r="J52" s="66"/>
      <c r="K52" s="66"/>
      <c r="L52" s="66"/>
      <c r="M52" s="14">
        <v>3</v>
      </c>
    </row>
    <row r="53" spans="1:13" ht="15.75" customHeight="1" x14ac:dyDescent="0.4">
      <c r="A53" s="14">
        <v>4</v>
      </c>
      <c r="C53" s="2"/>
      <c r="D53" s="66"/>
      <c r="E53" s="66"/>
      <c r="F53" s="66"/>
      <c r="G53" s="14">
        <v>4</v>
      </c>
      <c r="H53" s="66"/>
      <c r="I53" s="2"/>
      <c r="J53" s="66"/>
      <c r="K53" s="66"/>
      <c r="L53" s="66"/>
      <c r="M53" s="14">
        <v>4</v>
      </c>
    </row>
    <row r="54" spans="1:13" ht="15.75" customHeight="1" x14ac:dyDescent="0.4">
      <c r="A54" s="14">
        <v>5</v>
      </c>
      <c r="C54" s="2"/>
      <c r="D54" s="66"/>
      <c r="E54" s="66"/>
      <c r="F54" s="66"/>
      <c r="G54" s="14">
        <v>5</v>
      </c>
      <c r="H54" s="66"/>
      <c r="I54" s="2"/>
      <c r="J54" s="66"/>
      <c r="K54" s="66"/>
      <c r="L54" s="66"/>
      <c r="M54" s="14">
        <v>5</v>
      </c>
    </row>
    <row r="55" spans="1:13" ht="15.75" customHeight="1" x14ac:dyDescent="0.4">
      <c r="A55" s="14">
        <v>6</v>
      </c>
      <c r="C55" s="3"/>
      <c r="D55" s="4"/>
      <c r="E55" s="4"/>
      <c r="F55" s="4"/>
      <c r="G55" s="14">
        <v>6</v>
      </c>
      <c r="H55" s="66"/>
      <c r="I55" s="3"/>
      <c r="J55" s="4"/>
      <c r="K55" s="4"/>
      <c r="L55" s="4"/>
      <c r="M55" s="14">
        <v>6</v>
      </c>
    </row>
    <row r="56" spans="1:13" ht="8.25" customHeight="1" x14ac:dyDescent="0.4">
      <c r="A56" s="14"/>
      <c r="B56" s="8"/>
      <c r="C56" s="8"/>
      <c r="D56" s="8"/>
      <c r="E56" s="8"/>
      <c r="F56" s="8"/>
      <c r="G56" s="14"/>
      <c r="H56" s="8"/>
      <c r="I56" s="8"/>
      <c r="J56" s="8"/>
      <c r="K56" s="8"/>
      <c r="L56" s="8"/>
      <c r="M56" s="14"/>
    </row>
    <row r="57" spans="1:13" ht="15.75" customHeight="1" x14ac:dyDescent="0.4">
      <c r="C57" s="15"/>
    </row>
    <row r="58" spans="1:13" ht="15.75" customHeight="1" x14ac:dyDescent="0.4">
      <c r="C58" s="15"/>
    </row>
    <row r="59" spans="1:13" ht="15.75" customHeight="1" x14ac:dyDescent="0.4">
      <c r="C59" s="15"/>
    </row>
    <row r="60" spans="1:13" ht="15.75" customHeight="1" x14ac:dyDescent="0.4">
      <c r="C60" s="15"/>
    </row>
    <row r="61" spans="1:13" ht="15.75" customHeight="1" x14ac:dyDescent="0.4">
      <c r="C61" s="15"/>
    </row>
    <row r="62" spans="1:13" ht="15.75" customHeight="1" x14ac:dyDescent="0.4">
      <c r="C62" s="15"/>
    </row>
    <row r="63" spans="1:13" ht="15.75" customHeight="1" x14ac:dyDescent="0.4">
      <c r="C63" s="15"/>
    </row>
    <row r="64" spans="1:13" ht="15.75" customHeight="1" x14ac:dyDescent="0.4">
      <c r="C64" s="15"/>
    </row>
    <row r="65" spans="3:3" ht="15.75" customHeight="1" x14ac:dyDescent="0.4">
      <c r="C65" s="15"/>
    </row>
    <row r="66" spans="3:3" ht="15.75" customHeight="1" x14ac:dyDescent="0.4">
      <c r="C66" s="15"/>
    </row>
    <row r="67" spans="3:3" ht="15.75" customHeight="1" x14ac:dyDescent="0.4">
      <c r="C67" s="15"/>
    </row>
    <row r="68" spans="3:3" ht="15.75" customHeight="1" x14ac:dyDescent="0.4">
      <c r="C68" s="15"/>
    </row>
    <row r="69" spans="3:3" ht="15.75" customHeight="1" x14ac:dyDescent="0.4">
      <c r="C69" s="15"/>
    </row>
    <row r="70" spans="3:3" ht="15.75" customHeight="1" x14ac:dyDescent="0.4">
      <c r="C70" s="15"/>
    </row>
    <row r="71" spans="3:3" ht="15.75" customHeight="1" x14ac:dyDescent="0.4">
      <c r="C71" s="15"/>
    </row>
    <row r="72" spans="3:3" ht="15.75" customHeight="1" x14ac:dyDescent="0.4">
      <c r="C72" s="15"/>
    </row>
    <row r="73" spans="3:3" ht="15.75" customHeight="1" x14ac:dyDescent="0.4">
      <c r="C73" s="15"/>
    </row>
    <row r="74" spans="3:3" ht="15.75" customHeight="1" x14ac:dyDescent="0.4">
      <c r="C74" s="15"/>
    </row>
    <row r="75" spans="3:3" ht="15.75" customHeight="1" x14ac:dyDescent="0.4">
      <c r="C75" s="15"/>
    </row>
    <row r="76" spans="3:3" ht="15.75" customHeight="1" x14ac:dyDescent="0.4">
      <c r="C76" s="15"/>
    </row>
    <row r="77" spans="3:3" ht="15.75" customHeight="1" x14ac:dyDescent="0.4">
      <c r="C77" s="15"/>
    </row>
    <row r="78" spans="3:3" ht="15.75" customHeight="1" x14ac:dyDescent="0.4">
      <c r="C78" s="15"/>
    </row>
    <row r="79" spans="3:3" ht="15.75" customHeight="1" x14ac:dyDescent="0.4">
      <c r="C79" s="15"/>
    </row>
    <row r="80" spans="3:3" ht="15.75" customHeight="1" x14ac:dyDescent="0.4">
      <c r="C80" s="15"/>
    </row>
    <row r="81" spans="3:3" ht="15.75" customHeight="1" x14ac:dyDescent="0.4">
      <c r="C81" s="15"/>
    </row>
    <row r="82" spans="3:3" ht="15.75" customHeight="1" x14ac:dyDescent="0.4">
      <c r="C82" s="15"/>
    </row>
    <row r="83" spans="3:3" ht="15.75" customHeight="1" x14ac:dyDescent="0.4">
      <c r="C83" s="15"/>
    </row>
    <row r="84" spans="3:3" ht="15.75" customHeight="1" x14ac:dyDescent="0.4">
      <c r="C84" s="15"/>
    </row>
    <row r="85" spans="3:3" ht="15.75" customHeight="1" x14ac:dyDescent="0.4">
      <c r="C85" s="15"/>
    </row>
    <row r="86" spans="3:3" ht="15.75" customHeight="1" x14ac:dyDescent="0.4">
      <c r="C86" s="15"/>
    </row>
    <row r="87" spans="3:3" ht="15.75" customHeight="1" x14ac:dyDescent="0.4">
      <c r="C87" s="15"/>
    </row>
    <row r="88" spans="3:3" ht="15.75" customHeight="1" x14ac:dyDescent="0.4">
      <c r="C88" s="15"/>
    </row>
    <row r="89" spans="3:3" ht="15.75" customHeight="1" x14ac:dyDescent="0.4">
      <c r="C89" s="15"/>
    </row>
    <row r="90" spans="3:3" ht="15.75" customHeight="1" x14ac:dyDescent="0.4">
      <c r="C90" s="15"/>
    </row>
    <row r="91" spans="3:3" ht="15.75" customHeight="1" x14ac:dyDescent="0.4">
      <c r="C91" s="15"/>
    </row>
    <row r="92" spans="3:3" ht="15.75" customHeight="1" x14ac:dyDescent="0.4">
      <c r="C92" s="15"/>
    </row>
    <row r="93" spans="3:3" ht="15.75" customHeight="1" x14ac:dyDescent="0.4">
      <c r="C93" s="15"/>
    </row>
    <row r="94" spans="3:3" ht="15.75" customHeight="1" x14ac:dyDescent="0.4">
      <c r="C94" s="15"/>
    </row>
    <row r="95" spans="3:3" ht="15.75" customHeight="1" x14ac:dyDescent="0.4">
      <c r="C95" s="15"/>
    </row>
    <row r="96" spans="3:3" ht="15.75" customHeight="1" x14ac:dyDescent="0.4">
      <c r="C96" s="15"/>
    </row>
    <row r="97" spans="3:3" ht="15.75" customHeight="1" x14ac:dyDescent="0.4">
      <c r="C97" s="15"/>
    </row>
    <row r="98" spans="3:3" ht="15.75" customHeight="1" x14ac:dyDescent="0.4">
      <c r="C98" s="15"/>
    </row>
    <row r="99" spans="3:3" ht="15.75" customHeight="1" x14ac:dyDescent="0.4">
      <c r="C99" s="15"/>
    </row>
    <row r="100" spans="3:3" ht="15.75" customHeight="1" x14ac:dyDescent="0.4">
      <c r="C100" s="15"/>
    </row>
    <row r="101" spans="3:3" ht="15.75" customHeight="1" x14ac:dyDescent="0.4">
      <c r="C101" s="15"/>
    </row>
    <row r="102" spans="3:3" ht="15.75" customHeight="1" x14ac:dyDescent="0.4">
      <c r="C102" s="15"/>
    </row>
    <row r="103" spans="3:3" ht="15.75" customHeight="1" x14ac:dyDescent="0.4">
      <c r="C103" s="15"/>
    </row>
    <row r="104" spans="3:3" ht="15.75" customHeight="1" x14ac:dyDescent="0.4">
      <c r="C104" s="15"/>
    </row>
    <row r="105" spans="3:3" ht="15.75" customHeight="1" x14ac:dyDescent="0.4">
      <c r="C105" s="15"/>
    </row>
    <row r="106" spans="3:3" ht="15.75" customHeight="1" x14ac:dyDescent="0.4">
      <c r="C106" s="15"/>
    </row>
    <row r="107" spans="3:3" ht="15.75" customHeight="1" x14ac:dyDescent="0.4">
      <c r="C107" s="15"/>
    </row>
    <row r="108" spans="3:3" ht="15.75" customHeight="1" x14ac:dyDescent="0.4">
      <c r="C108" s="15"/>
    </row>
    <row r="109" spans="3:3" ht="15.75" customHeight="1" x14ac:dyDescent="0.4">
      <c r="C109" s="15"/>
    </row>
    <row r="110" spans="3:3" ht="15.75" customHeight="1" x14ac:dyDescent="0.4">
      <c r="C110" s="15"/>
    </row>
    <row r="111" spans="3:3" ht="15.75" customHeight="1" x14ac:dyDescent="0.4">
      <c r="C111" s="15"/>
    </row>
    <row r="112" spans="3:3" ht="15.75" customHeight="1" x14ac:dyDescent="0.4">
      <c r="C112" s="15"/>
    </row>
    <row r="113" spans="3:3" ht="15.75" customHeight="1" x14ac:dyDescent="0.4">
      <c r="C113" s="15"/>
    </row>
    <row r="114" spans="3:3" ht="15.75" customHeight="1" x14ac:dyDescent="0.4">
      <c r="C114" s="15"/>
    </row>
    <row r="115" spans="3:3" ht="15.75" customHeight="1" x14ac:dyDescent="0.4">
      <c r="C115" s="15"/>
    </row>
    <row r="116" spans="3:3" ht="15.75" customHeight="1" x14ac:dyDescent="0.4">
      <c r="C116" s="15"/>
    </row>
    <row r="117" spans="3:3" ht="15.75" customHeight="1" x14ac:dyDescent="0.4">
      <c r="C117" s="15"/>
    </row>
    <row r="118" spans="3:3" ht="15.75" customHeight="1" x14ac:dyDescent="0.4">
      <c r="C118" s="15"/>
    </row>
    <row r="119" spans="3:3" ht="15.75" customHeight="1" x14ac:dyDescent="0.4">
      <c r="C119" s="15"/>
    </row>
    <row r="120" spans="3:3" ht="15.75" customHeight="1" x14ac:dyDescent="0.4">
      <c r="C120" s="15"/>
    </row>
    <row r="121" spans="3:3" ht="15.75" customHeight="1" x14ac:dyDescent="0.4">
      <c r="C121" s="15"/>
    </row>
    <row r="122" spans="3:3" ht="15.75" customHeight="1" x14ac:dyDescent="0.4">
      <c r="C122" s="15"/>
    </row>
    <row r="123" spans="3:3" ht="15.75" customHeight="1" x14ac:dyDescent="0.4">
      <c r="C123" s="15"/>
    </row>
    <row r="124" spans="3:3" ht="15.75" customHeight="1" x14ac:dyDescent="0.4">
      <c r="C124" s="15"/>
    </row>
    <row r="125" spans="3:3" ht="15.75" customHeight="1" x14ac:dyDescent="0.4">
      <c r="C125" s="15"/>
    </row>
    <row r="126" spans="3:3" ht="15.75" customHeight="1" x14ac:dyDescent="0.4">
      <c r="C126" s="15"/>
    </row>
    <row r="127" spans="3:3" ht="15.75" customHeight="1" x14ac:dyDescent="0.4">
      <c r="C127" s="15"/>
    </row>
    <row r="128" spans="3:3" ht="15.75" customHeight="1" x14ac:dyDescent="0.4">
      <c r="C128" s="15"/>
    </row>
    <row r="129" spans="3:3" ht="15.75" customHeight="1" x14ac:dyDescent="0.4">
      <c r="C129" s="15"/>
    </row>
    <row r="130" spans="3:3" ht="15.75" customHeight="1" x14ac:dyDescent="0.4">
      <c r="C130" s="15"/>
    </row>
    <row r="131" spans="3:3" ht="15.75" customHeight="1" x14ac:dyDescent="0.4">
      <c r="C131" s="15"/>
    </row>
    <row r="132" spans="3:3" ht="15.75" customHeight="1" x14ac:dyDescent="0.4">
      <c r="C132" s="15"/>
    </row>
    <row r="133" spans="3:3" ht="15.75" customHeight="1" x14ac:dyDescent="0.4">
      <c r="C133" s="15"/>
    </row>
    <row r="134" spans="3:3" ht="15.75" customHeight="1" x14ac:dyDescent="0.4">
      <c r="C134" s="15"/>
    </row>
    <row r="135" spans="3:3" ht="15.75" customHeight="1" x14ac:dyDescent="0.4">
      <c r="C135" s="15"/>
    </row>
    <row r="136" spans="3:3" ht="15.75" customHeight="1" x14ac:dyDescent="0.4">
      <c r="C136" s="15"/>
    </row>
    <row r="137" spans="3:3" ht="15.75" customHeight="1" x14ac:dyDescent="0.4">
      <c r="C137" s="15"/>
    </row>
    <row r="138" spans="3:3" ht="15.75" customHeight="1" x14ac:dyDescent="0.4">
      <c r="C138" s="15"/>
    </row>
    <row r="139" spans="3:3" ht="15.75" customHeight="1" x14ac:dyDescent="0.4">
      <c r="C139" s="15"/>
    </row>
    <row r="140" spans="3:3" ht="15.75" customHeight="1" x14ac:dyDescent="0.4">
      <c r="C140" s="15"/>
    </row>
    <row r="141" spans="3:3" ht="15.75" customHeight="1" x14ac:dyDescent="0.4">
      <c r="C141" s="15"/>
    </row>
    <row r="142" spans="3:3" ht="15.75" customHeight="1" x14ac:dyDescent="0.4">
      <c r="C142" s="15"/>
    </row>
    <row r="143" spans="3:3" ht="15.75" customHeight="1" x14ac:dyDescent="0.4">
      <c r="C143" s="15"/>
    </row>
    <row r="144" spans="3:3" ht="15.75" customHeight="1" x14ac:dyDescent="0.4">
      <c r="C144" s="15"/>
    </row>
    <row r="145" spans="3:3" ht="15.75" customHeight="1" x14ac:dyDescent="0.4">
      <c r="C145" s="15"/>
    </row>
    <row r="146" spans="3:3" ht="15.75" customHeight="1" x14ac:dyDescent="0.4">
      <c r="C146" s="15"/>
    </row>
    <row r="147" spans="3:3" ht="15.75" customHeight="1" x14ac:dyDescent="0.4">
      <c r="C147" s="15"/>
    </row>
    <row r="148" spans="3:3" ht="15.75" customHeight="1" x14ac:dyDescent="0.4">
      <c r="C148" s="15"/>
    </row>
    <row r="149" spans="3:3" ht="15.75" customHeight="1" x14ac:dyDescent="0.4">
      <c r="C149" s="15"/>
    </row>
    <row r="150" spans="3:3" ht="15.75" customHeight="1" x14ac:dyDescent="0.4">
      <c r="C150" s="15"/>
    </row>
    <row r="151" spans="3:3" ht="15.75" customHeight="1" x14ac:dyDescent="0.4">
      <c r="C151" s="15"/>
    </row>
    <row r="152" spans="3:3" ht="15.75" customHeight="1" x14ac:dyDescent="0.4">
      <c r="C152" s="15"/>
    </row>
    <row r="153" spans="3:3" ht="15.75" customHeight="1" x14ac:dyDescent="0.4">
      <c r="C153" s="15"/>
    </row>
    <row r="154" spans="3:3" ht="15.75" customHeight="1" x14ac:dyDescent="0.4">
      <c r="C154" s="15"/>
    </row>
    <row r="155" spans="3:3" ht="15.75" customHeight="1" x14ac:dyDescent="0.4">
      <c r="C155" s="15"/>
    </row>
    <row r="156" spans="3:3" ht="15.75" customHeight="1" x14ac:dyDescent="0.4">
      <c r="C156" s="15"/>
    </row>
    <row r="157" spans="3:3" ht="15.75" customHeight="1" x14ac:dyDescent="0.4">
      <c r="C157" s="15"/>
    </row>
    <row r="158" spans="3:3" ht="15.75" customHeight="1" x14ac:dyDescent="0.4">
      <c r="C158" s="15"/>
    </row>
    <row r="159" spans="3:3" ht="15.75" customHeight="1" x14ac:dyDescent="0.4">
      <c r="C159" s="15"/>
    </row>
    <row r="160" spans="3:3" ht="15.75" customHeight="1" x14ac:dyDescent="0.4">
      <c r="C160" s="15"/>
    </row>
    <row r="161" spans="3:3" ht="15.75" customHeight="1" x14ac:dyDescent="0.4">
      <c r="C161" s="15"/>
    </row>
    <row r="162" spans="3:3" ht="15.75" customHeight="1" x14ac:dyDescent="0.4">
      <c r="C162" s="15"/>
    </row>
    <row r="163" spans="3:3" ht="15.75" customHeight="1" x14ac:dyDescent="0.4">
      <c r="C163" s="15"/>
    </row>
    <row r="164" spans="3:3" ht="15.75" customHeight="1" x14ac:dyDescent="0.4">
      <c r="C164" s="15"/>
    </row>
    <row r="165" spans="3:3" ht="15.75" customHeight="1" x14ac:dyDescent="0.4">
      <c r="C165" s="15"/>
    </row>
    <row r="166" spans="3:3" ht="15.75" customHeight="1" x14ac:dyDescent="0.4">
      <c r="C166" s="15"/>
    </row>
    <row r="167" spans="3:3" ht="15.75" customHeight="1" x14ac:dyDescent="0.4">
      <c r="C167" s="15"/>
    </row>
    <row r="168" spans="3:3" ht="15.75" customHeight="1" x14ac:dyDescent="0.4">
      <c r="C168" s="15"/>
    </row>
    <row r="169" spans="3:3" ht="15.75" customHeight="1" x14ac:dyDescent="0.4">
      <c r="C169" s="15"/>
    </row>
    <row r="170" spans="3:3" ht="15.75" customHeight="1" x14ac:dyDescent="0.4">
      <c r="C170" s="15"/>
    </row>
    <row r="171" spans="3:3" ht="15.75" customHeight="1" x14ac:dyDescent="0.4">
      <c r="C171" s="15"/>
    </row>
    <row r="172" spans="3:3" ht="15.75" customHeight="1" x14ac:dyDescent="0.4">
      <c r="C172" s="15"/>
    </row>
    <row r="173" spans="3:3" ht="15.75" customHeight="1" x14ac:dyDescent="0.4">
      <c r="C173" s="15"/>
    </row>
    <row r="174" spans="3:3" ht="15.75" customHeight="1" x14ac:dyDescent="0.4">
      <c r="C174" s="15"/>
    </row>
    <row r="175" spans="3:3" ht="15.75" customHeight="1" x14ac:dyDescent="0.4">
      <c r="C175" s="15"/>
    </row>
    <row r="176" spans="3:3" ht="15.75" customHeight="1" x14ac:dyDescent="0.4">
      <c r="C176" s="15"/>
    </row>
    <row r="177" spans="3:3" ht="15.75" customHeight="1" x14ac:dyDescent="0.4">
      <c r="C177" s="15"/>
    </row>
    <row r="178" spans="3:3" ht="15.75" customHeight="1" x14ac:dyDescent="0.4">
      <c r="C178" s="15"/>
    </row>
    <row r="179" spans="3:3" ht="15.75" customHeight="1" x14ac:dyDescent="0.4">
      <c r="C179" s="15"/>
    </row>
    <row r="180" spans="3:3" ht="15.75" customHeight="1" x14ac:dyDescent="0.4">
      <c r="C180" s="15"/>
    </row>
    <row r="181" spans="3:3" ht="15.75" customHeight="1" x14ac:dyDescent="0.4">
      <c r="C181" s="15"/>
    </row>
    <row r="182" spans="3:3" ht="15.75" customHeight="1" x14ac:dyDescent="0.4">
      <c r="C182" s="15"/>
    </row>
    <row r="183" spans="3:3" ht="15.75" customHeight="1" x14ac:dyDescent="0.4">
      <c r="C183" s="15"/>
    </row>
    <row r="184" spans="3:3" ht="15.75" customHeight="1" x14ac:dyDescent="0.4">
      <c r="C184" s="15"/>
    </row>
    <row r="185" spans="3:3" ht="15.75" customHeight="1" x14ac:dyDescent="0.4">
      <c r="C185" s="15"/>
    </row>
    <row r="186" spans="3:3" ht="15.75" customHeight="1" x14ac:dyDescent="0.4">
      <c r="C186" s="15"/>
    </row>
    <row r="187" spans="3:3" ht="15.75" customHeight="1" x14ac:dyDescent="0.4">
      <c r="C187" s="15"/>
    </row>
    <row r="188" spans="3:3" ht="15.75" customHeight="1" x14ac:dyDescent="0.4">
      <c r="C188" s="15"/>
    </row>
    <row r="189" spans="3:3" ht="15.75" customHeight="1" x14ac:dyDescent="0.4">
      <c r="C189" s="15"/>
    </row>
    <row r="190" spans="3:3" ht="15.75" customHeight="1" x14ac:dyDescent="0.4">
      <c r="C190" s="15"/>
    </row>
    <row r="191" spans="3:3" ht="15.75" customHeight="1" x14ac:dyDescent="0.4">
      <c r="C191" s="15"/>
    </row>
    <row r="192" spans="3:3" ht="15.75" customHeight="1" x14ac:dyDescent="0.4">
      <c r="C192" s="15"/>
    </row>
    <row r="193" spans="3:3" ht="15.75" customHeight="1" x14ac:dyDescent="0.4">
      <c r="C193" s="15"/>
    </row>
    <row r="194" spans="3:3" ht="15.75" customHeight="1" x14ac:dyDescent="0.4">
      <c r="C194" s="15"/>
    </row>
    <row r="195" spans="3:3" ht="15.75" customHeight="1" x14ac:dyDescent="0.4">
      <c r="C195" s="15"/>
    </row>
    <row r="196" spans="3:3" ht="15.75" customHeight="1" x14ac:dyDescent="0.4">
      <c r="C196" s="15"/>
    </row>
    <row r="197" spans="3:3" ht="15.75" customHeight="1" x14ac:dyDescent="0.4">
      <c r="C197" s="15"/>
    </row>
    <row r="198" spans="3:3" ht="15.75" customHeight="1" x14ac:dyDescent="0.4">
      <c r="C198" s="15"/>
    </row>
    <row r="199" spans="3:3" ht="15.75" customHeight="1" x14ac:dyDescent="0.4">
      <c r="C199" s="15"/>
    </row>
    <row r="200" spans="3:3" ht="15.75" customHeight="1" x14ac:dyDescent="0.4">
      <c r="C200" s="15"/>
    </row>
    <row r="201" spans="3:3" ht="15.75" customHeight="1" x14ac:dyDescent="0.4">
      <c r="C201" s="15"/>
    </row>
    <row r="202" spans="3:3" ht="15.75" customHeight="1" x14ac:dyDescent="0.4">
      <c r="C202" s="15"/>
    </row>
    <row r="203" spans="3:3" ht="15.75" customHeight="1" x14ac:dyDescent="0.4">
      <c r="C203" s="15"/>
    </row>
    <row r="204" spans="3:3" ht="15.75" customHeight="1" x14ac:dyDescent="0.4">
      <c r="C204" s="15"/>
    </row>
    <row r="205" spans="3:3" ht="15.75" customHeight="1" x14ac:dyDescent="0.4">
      <c r="C205" s="15"/>
    </row>
    <row r="206" spans="3:3" ht="15.75" customHeight="1" x14ac:dyDescent="0.4">
      <c r="C206" s="15"/>
    </row>
    <row r="207" spans="3:3" ht="15.75" customHeight="1" x14ac:dyDescent="0.4">
      <c r="C207" s="15"/>
    </row>
    <row r="208" spans="3:3" ht="15.75" customHeight="1" x14ac:dyDescent="0.4">
      <c r="C208" s="15"/>
    </row>
    <row r="209" spans="3:3" ht="15.75" customHeight="1" x14ac:dyDescent="0.4">
      <c r="C209" s="15"/>
    </row>
    <row r="210" spans="3:3" ht="15.75" customHeight="1" x14ac:dyDescent="0.4">
      <c r="C210" s="15"/>
    </row>
    <row r="211" spans="3:3" ht="15.75" customHeight="1" x14ac:dyDescent="0.4">
      <c r="C211" s="15"/>
    </row>
    <row r="212" spans="3:3" ht="15.75" customHeight="1" x14ac:dyDescent="0.4">
      <c r="C212" s="15"/>
    </row>
    <row r="213" spans="3:3" ht="15.75" customHeight="1" x14ac:dyDescent="0.4">
      <c r="C213" s="15"/>
    </row>
    <row r="214" spans="3:3" ht="15.75" customHeight="1" x14ac:dyDescent="0.4">
      <c r="C214" s="15"/>
    </row>
    <row r="215" spans="3:3" ht="15.75" customHeight="1" x14ac:dyDescent="0.4">
      <c r="C215" s="15"/>
    </row>
    <row r="216" spans="3:3" ht="15.75" customHeight="1" x14ac:dyDescent="0.4">
      <c r="C216" s="15"/>
    </row>
    <row r="217" spans="3:3" ht="15.75" customHeight="1" x14ac:dyDescent="0.4">
      <c r="C217" s="15"/>
    </row>
    <row r="218" spans="3:3" ht="15.75" customHeight="1" x14ac:dyDescent="0.4">
      <c r="C218" s="15"/>
    </row>
    <row r="219" spans="3:3" ht="15.75" customHeight="1" x14ac:dyDescent="0.4">
      <c r="C219" s="15"/>
    </row>
    <row r="220" spans="3:3" ht="15.75" customHeight="1" x14ac:dyDescent="0.4">
      <c r="C220" s="15"/>
    </row>
    <row r="221" spans="3:3" ht="15.75" customHeight="1" x14ac:dyDescent="0.4">
      <c r="C221" s="15"/>
    </row>
    <row r="222" spans="3:3" ht="15.75" customHeight="1" x14ac:dyDescent="0.4">
      <c r="C222" s="15"/>
    </row>
    <row r="223" spans="3:3" ht="15.75" customHeight="1" x14ac:dyDescent="0.4">
      <c r="C223" s="15"/>
    </row>
    <row r="224" spans="3:3" ht="15.75" customHeight="1" x14ac:dyDescent="0.4">
      <c r="C224" s="15"/>
    </row>
    <row r="225" spans="3:3" ht="15.75" customHeight="1" x14ac:dyDescent="0.4">
      <c r="C225" s="15"/>
    </row>
    <row r="226" spans="3:3" ht="15.75" customHeight="1" x14ac:dyDescent="0.4">
      <c r="C226" s="15"/>
    </row>
    <row r="227" spans="3:3" ht="15.75" customHeight="1" x14ac:dyDescent="0.4">
      <c r="C227" s="15"/>
    </row>
    <row r="228" spans="3:3" ht="15.75" customHeight="1" x14ac:dyDescent="0.4">
      <c r="C228" s="15"/>
    </row>
    <row r="229" spans="3:3" ht="15.75" customHeight="1" x14ac:dyDescent="0.4">
      <c r="C229" s="15"/>
    </row>
    <row r="230" spans="3:3" ht="15.75" customHeight="1" x14ac:dyDescent="0.4">
      <c r="C230" s="15"/>
    </row>
    <row r="231" spans="3:3" ht="15.75" customHeight="1" x14ac:dyDescent="0.4">
      <c r="C231" s="15"/>
    </row>
    <row r="232" spans="3:3" ht="15.75" customHeight="1" x14ac:dyDescent="0.4">
      <c r="C232" s="15"/>
    </row>
    <row r="233" spans="3:3" ht="15.75" customHeight="1" x14ac:dyDescent="0.4">
      <c r="C233" s="15"/>
    </row>
    <row r="234" spans="3:3" ht="15.75" customHeight="1" x14ac:dyDescent="0.4">
      <c r="C234" s="15"/>
    </row>
    <row r="235" spans="3:3" ht="15.75" customHeight="1" x14ac:dyDescent="0.4">
      <c r="C235" s="15"/>
    </row>
    <row r="236" spans="3:3" ht="15.75" customHeight="1" x14ac:dyDescent="0.4">
      <c r="C236" s="15"/>
    </row>
    <row r="237" spans="3:3" ht="15.75" customHeight="1" x14ac:dyDescent="0.4">
      <c r="C237" s="15"/>
    </row>
    <row r="238" spans="3:3" ht="15.75" customHeight="1" x14ac:dyDescent="0.4">
      <c r="C238" s="15"/>
    </row>
    <row r="239" spans="3:3" ht="15.75" customHeight="1" x14ac:dyDescent="0.4">
      <c r="C239" s="15"/>
    </row>
    <row r="240" spans="3:3" ht="15.75" customHeight="1" x14ac:dyDescent="0.4">
      <c r="C240" s="15"/>
    </row>
    <row r="241" spans="3:3" ht="15.75" customHeight="1" x14ac:dyDescent="0.4">
      <c r="C241" s="15"/>
    </row>
    <row r="242" spans="3:3" ht="15.75" customHeight="1" x14ac:dyDescent="0.4">
      <c r="C242" s="15"/>
    </row>
    <row r="243" spans="3:3" ht="15.75" customHeight="1" x14ac:dyDescent="0.4">
      <c r="C243" s="15"/>
    </row>
    <row r="244" spans="3:3" ht="15.75" customHeight="1" x14ac:dyDescent="0.4">
      <c r="C244" s="15"/>
    </row>
    <row r="245" spans="3:3" ht="15.75" customHeight="1" x14ac:dyDescent="0.4">
      <c r="C245" s="15"/>
    </row>
    <row r="246" spans="3:3" ht="15.75" customHeight="1" x14ac:dyDescent="0.4">
      <c r="C246" s="15"/>
    </row>
    <row r="247" spans="3:3" ht="15.75" customHeight="1" x14ac:dyDescent="0.4">
      <c r="C247" s="15"/>
    </row>
    <row r="248" spans="3:3" ht="15.75" customHeight="1" x14ac:dyDescent="0.4">
      <c r="C248" s="15"/>
    </row>
    <row r="249" spans="3:3" ht="15.75" customHeight="1" x14ac:dyDescent="0.4">
      <c r="C249" s="15"/>
    </row>
    <row r="250" spans="3:3" ht="15.75" customHeight="1" x14ac:dyDescent="0.4">
      <c r="C250" s="15"/>
    </row>
    <row r="251" spans="3:3" ht="15.75" customHeight="1" x14ac:dyDescent="0.4">
      <c r="C251" s="15"/>
    </row>
    <row r="252" spans="3:3" ht="15.75" customHeight="1" x14ac:dyDescent="0.4">
      <c r="C252" s="15"/>
    </row>
    <row r="253" spans="3:3" ht="15.75" customHeight="1" x14ac:dyDescent="0.4">
      <c r="C253" s="15"/>
    </row>
    <row r="254" spans="3:3" ht="15.75" customHeight="1" x14ac:dyDescent="0.4">
      <c r="C254" s="15"/>
    </row>
    <row r="255" spans="3:3" ht="15.75" customHeight="1" x14ac:dyDescent="0.4">
      <c r="C255" s="15"/>
    </row>
    <row r="256" spans="3:3" ht="15.75" customHeight="1" x14ac:dyDescent="0.4">
      <c r="C256" s="15"/>
    </row>
    <row r="257" spans="3:3" ht="15.75" customHeight="1" x14ac:dyDescent="0.4">
      <c r="C257" s="15"/>
    </row>
    <row r="258" spans="3:3" ht="15.75" customHeight="1" x14ac:dyDescent="0.4">
      <c r="C258" s="15"/>
    </row>
    <row r="259" spans="3:3" ht="15.75" customHeight="1" x14ac:dyDescent="0.4">
      <c r="C259" s="15"/>
    </row>
    <row r="260" spans="3:3" ht="15.75" customHeight="1" x14ac:dyDescent="0.4">
      <c r="C260" s="15"/>
    </row>
    <row r="261" spans="3:3" ht="15.75" customHeight="1" x14ac:dyDescent="0.4">
      <c r="C261" s="15"/>
    </row>
    <row r="262" spans="3:3" ht="15.75" customHeight="1" x14ac:dyDescent="0.4">
      <c r="C262" s="15"/>
    </row>
    <row r="263" spans="3:3" ht="15.75" customHeight="1" x14ac:dyDescent="0.4">
      <c r="C263" s="15"/>
    </row>
    <row r="264" spans="3:3" ht="15.75" customHeight="1" x14ac:dyDescent="0.4">
      <c r="C264" s="15"/>
    </row>
    <row r="265" spans="3:3" ht="15.75" customHeight="1" x14ac:dyDescent="0.4">
      <c r="C265" s="15"/>
    </row>
    <row r="266" spans="3:3" ht="15.75" customHeight="1" x14ac:dyDescent="0.4">
      <c r="C266" s="15"/>
    </row>
    <row r="267" spans="3:3" ht="15.75" customHeight="1" x14ac:dyDescent="0.4">
      <c r="C267" s="15"/>
    </row>
    <row r="268" spans="3:3" ht="15.75" customHeight="1" x14ac:dyDescent="0.4">
      <c r="C268" s="15"/>
    </row>
    <row r="269" spans="3:3" ht="15.75" customHeight="1" x14ac:dyDescent="0.4">
      <c r="C269" s="15"/>
    </row>
    <row r="270" spans="3:3" ht="15.75" customHeight="1" x14ac:dyDescent="0.4">
      <c r="C270" s="15"/>
    </row>
    <row r="271" spans="3:3" ht="15.75" customHeight="1" x14ac:dyDescent="0.4">
      <c r="C271" s="15"/>
    </row>
    <row r="272" spans="3:3" ht="15.75" customHeight="1" x14ac:dyDescent="0.4">
      <c r="C272" s="15"/>
    </row>
    <row r="273" spans="3:3" ht="15.75" customHeight="1" x14ac:dyDescent="0.4">
      <c r="C273" s="15"/>
    </row>
    <row r="274" spans="3:3" ht="15.75" customHeight="1" x14ac:dyDescent="0.4">
      <c r="C274" s="15"/>
    </row>
    <row r="275" spans="3:3" ht="15.75" customHeight="1" x14ac:dyDescent="0.4">
      <c r="C275" s="15"/>
    </row>
    <row r="276" spans="3:3" ht="15.75" customHeight="1" x14ac:dyDescent="0.4">
      <c r="C276" s="15"/>
    </row>
    <row r="277" spans="3:3" ht="15.75" customHeight="1" x14ac:dyDescent="0.4">
      <c r="C277" s="15"/>
    </row>
    <row r="278" spans="3:3" ht="15.75" customHeight="1" x14ac:dyDescent="0.4">
      <c r="C278" s="15"/>
    </row>
    <row r="279" spans="3:3" ht="15.75" customHeight="1" x14ac:dyDescent="0.4">
      <c r="C279" s="15"/>
    </row>
    <row r="280" spans="3:3" ht="15.75" customHeight="1" x14ac:dyDescent="0.4">
      <c r="C280" s="15"/>
    </row>
    <row r="281" spans="3:3" ht="15.75" customHeight="1" x14ac:dyDescent="0.4">
      <c r="C281" s="15"/>
    </row>
    <row r="282" spans="3:3" ht="15.75" customHeight="1" x14ac:dyDescent="0.4">
      <c r="C282" s="15"/>
    </row>
    <row r="283" spans="3:3" ht="15.75" customHeight="1" x14ac:dyDescent="0.4">
      <c r="C283" s="15"/>
    </row>
    <row r="284" spans="3:3" ht="15.75" customHeight="1" x14ac:dyDescent="0.4">
      <c r="C284" s="15"/>
    </row>
    <row r="285" spans="3:3" ht="15.75" customHeight="1" x14ac:dyDescent="0.4">
      <c r="C285" s="15"/>
    </row>
    <row r="286" spans="3:3" ht="15.75" customHeight="1" x14ac:dyDescent="0.4">
      <c r="C286" s="15"/>
    </row>
    <row r="287" spans="3:3" ht="15.75" customHeight="1" x14ac:dyDescent="0.4">
      <c r="C287" s="15"/>
    </row>
    <row r="288" spans="3:3" ht="15.75" customHeight="1" x14ac:dyDescent="0.4">
      <c r="C288" s="15"/>
    </row>
    <row r="289" spans="3:3" ht="15.75" customHeight="1" x14ac:dyDescent="0.4">
      <c r="C289" s="15"/>
    </row>
    <row r="290" spans="3:3" ht="15.75" customHeight="1" x14ac:dyDescent="0.4">
      <c r="C290" s="15"/>
    </row>
    <row r="291" spans="3:3" ht="15.75" customHeight="1" x14ac:dyDescent="0.4">
      <c r="C291" s="15"/>
    </row>
    <row r="292" spans="3:3" ht="15.75" customHeight="1" x14ac:dyDescent="0.4">
      <c r="C292" s="15"/>
    </row>
    <row r="293" spans="3:3" ht="15.75" customHeight="1" x14ac:dyDescent="0.4">
      <c r="C293" s="15"/>
    </row>
    <row r="294" spans="3:3" ht="15.75" customHeight="1" x14ac:dyDescent="0.4">
      <c r="C294" s="15"/>
    </row>
    <row r="295" spans="3:3" ht="15.75" customHeight="1" x14ac:dyDescent="0.4">
      <c r="C295" s="15"/>
    </row>
    <row r="296" spans="3:3" ht="15.75" customHeight="1" x14ac:dyDescent="0.4">
      <c r="C296" s="15"/>
    </row>
    <row r="297" spans="3:3" ht="15.75" customHeight="1" x14ac:dyDescent="0.4">
      <c r="C297" s="15"/>
    </row>
    <row r="298" spans="3:3" ht="15.75" customHeight="1" x14ac:dyDescent="0.4">
      <c r="C298" s="15"/>
    </row>
    <row r="299" spans="3:3" ht="15.75" customHeight="1" x14ac:dyDescent="0.4">
      <c r="C299" s="15"/>
    </row>
    <row r="300" spans="3:3" ht="15.75" customHeight="1" x14ac:dyDescent="0.4">
      <c r="C300" s="15"/>
    </row>
    <row r="301" spans="3:3" ht="15.75" customHeight="1" x14ac:dyDescent="0.4">
      <c r="C301" s="15"/>
    </row>
    <row r="302" spans="3:3" ht="15.75" customHeight="1" x14ac:dyDescent="0.4">
      <c r="C302" s="15"/>
    </row>
    <row r="303" spans="3:3" ht="15.75" customHeight="1" x14ac:dyDescent="0.4">
      <c r="C303" s="15"/>
    </row>
    <row r="304" spans="3:3" ht="15.75" customHeight="1" x14ac:dyDescent="0.4">
      <c r="C304" s="15"/>
    </row>
    <row r="305" spans="3:3" ht="15.75" customHeight="1" x14ac:dyDescent="0.4">
      <c r="C305" s="15"/>
    </row>
    <row r="306" spans="3:3" ht="15.75" customHeight="1" x14ac:dyDescent="0.4">
      <c r="C306" s="15"/>
    </row>
    <row r="307" spans="3:3" ht="15.75" customHeight="1" x14ac:dyDescent="0.4">
      <c r="C307" s="15"/>
    </row>
    <row r="308" spans="3:3" ht="15.75" customHeight="1" x14ac:dyDescent="0.4">
      <c r="C308" s="15"/>
    </row>
    <row r="309" spans="3:3" ht="15.75" customHeight="1" x14ac:dyDescent="0.4">
      <c r="C309" s="15"/>
    </row>
    <row r="310" spans="3:3" ht="15.75" customHeight="1" x14ac:dyDescent="0.4">
      <c r="C310" s="15"/>
    </row>
    <row r="311" spans="3:3" ht="15.75" customHeight="1" x14ac:dyDescent="0.4">
      <c r="C311" s="15"/>
    </row>
    <row r="312" spans="3:3" ht="15.75" customHeight="1" x14ac:dyDescent="0.4">
      <c r="C312" s="15"/>
    </row>
    <row r="313" spans="3:3" ht="15.75" customHeight="1" x14ac:dyDescent="0.4">
      <c r="C313" s="15"/>
    </row>
    <row r="314" spans="3:3" ht="15.75" customHeight="1" x14ac:dyDescent="0.4">
      <c r="C314" s="15"/>
    </row>
    <row r="315" spans="3:3" ht="15.75" customHeight="1" x14ac:dyDescent="0.4">
      <c r="C315" s="15"/>
    </row>
    <row r="316" spans="3:3" ht="15.75" customHeight="1" x14ac:dyDescent="0.4">
      <c r="C316" s="15"/>
    </row>
    <row r="317" spans="3:3" ht="15.75" customHeight="1" x14ac:dyDescent="0.4">
      <c r="C317" s="15"/>
    </row>
    <row r="318" spans="3:3" ht="15.75" customHeight="1" x14ac:dyDescent="0.4">
      <c r="C318" s="15"/>
    </row>
    <row r="319" spans="3:3" ht="15.75" customHeight="1" x14ac:dyDescent="0.4">
      <c r="C319" s="15"/>
    </row>
    <row r="320" spans="3:3" ht="15.75" customHeight="1" x14ac:dyDescent="0.4">
      <c r="C320" s="15"/>
    </row>
    <row r="321" spans="3:3" ht="15.75" customHeight="1" x14ac:dyDescent="0.4">
      <c r="C321" s="15"/>
    </row>
    <row r="322" spans="3:3" ht="15.75" customHeight="1" x14ac:dyDescent="0.4">
      <c r="C322" s="15"/>
    </row>
    <row r="323" spans="3:3" ht="15.75" customHeight="1" x14ac:dyDescent="0.4">
      <c r="C323" s="15"/>
    </row>
    <row r="324" spans="3:3" ht="15.75" customHeight="1" x14ac:dyDescent="0.4">
      <c r="C324" s="15"/>
    </row>
    <row r="325" spans="3:3" ht="15.75" customHeight="1" x14ac:dyDescent="0.4">
      <c r="C325" s="15"/>
    </row>
    <row r="326" spans="3:3" ht="15.75" customHeight="1" x14ac:dyDescent="0.4">
      <c r="C326" s="15"/>
    </row>
    <row r="327" spans="3:3" ht="15.75" customHeight="1" x14ac:dyDescent="0.4">
      <c r="C327" s="15"/>
    </row>
    <row r="328" spans="3:3" ht="15.75" customHeight="1" x14ac:dyDescent="0.4">
      <c r="C328" s="15"/>
    </row>
    <row r="329" spans="3:3" ht="15.75" customHeight="1" x14ac:dyDescent="0.4">
      <c r="C329" s="15"/>
    </row>
    <row r="330" spans="3:3" ht="15.75" customHeight="1" x14ac:dyDescent="0.4">
      <c r="C330" s="15"/>
    </row>
    <row r="331" spans="3:3" ht="15.75" customHeight="1" x14ac:dyDescent="0.4">
      <c r="C331" s="15"/>
    </row>
    <row r="332" spans="3:3" ht="15.75" customHeight="1" x14ac:dyDescent="0.4">
      <c r="C332" s="15"/>
    </row>
    <row r="333" spans="3:3" ht="15.75" customHeight="1" x14ac:dyDescent="0.4">
      <c r="C333" s="15"/>
    </row>
    <row r="334" spans="3:3" ht="15.75" customHeight="1" x14ac:dyDescent="0.4">
      <c r="C334" s="15"/>
    </row>
    <row r="335" spans="3:3" ht="15.75" customHeight="1" x14ac:dyDescent="0.4">
      <c r="C335" s="15"/>
    </row>
    <row r="336" spans="3:3" ht="15.75" customHeight="1" x14ac:dyDescent="0.4">
      <c r="C336" s="15"/>
    </row>
    <row r="337" spans="3:3" ht="15.75" customHeight="1" x14ac:dyDescent="0.4">
      <c r="C337" s="15"/>
    </row>
    <row r="338" spans="3:3" ht="15.75" customHeight="1" x14ac:dyDescent="0.4">
      <c r="C338" s="15"/>
    </row>
    <row r="339" spans="3:3" ht="15.75" customHeight="1" x14ac:dyDescent="0.4">
      <c r="C339" s="15"/>
    </row>
    <row r="340" spans="3:3" ht="15.75" customHeight="1" x14ac:dyDescent="0.4">
      <c r="C340" s="15"/>
    </row>
    <row r="341" spans="3:3" ht="15.75" customHeight="1" x14ac:dyDescent="0.4">
      <c r="C341" s="15"/>
    </row>
    <row r="342" spans="3:3" ht="15.75" customHeight="1" x14ac:dyDescent="0.4">
      <c r="C342" s="15"/>
    </row>
    <row r="343" spans="3:3" ht="15.75" customHeight="1" x14ac:dyDescent="0.4">
      <c r="C343" s="15"/>
    </row>
    <row r="344" spans="3:3" ht="15.75" customHeight="1" x14ac:dyDescent="0.4">
      <c r="C344" s="15"/>
    </row>
    <row r="345" spans="3:3" ht="15.75" customHeight="1" x14ac:dyDescent="0.4">
      <c r="C345" s="15"/>
    </row>
    <row r="346" spans="3:3" ht="15.75" customHeight="1" x14ac:dyDescent="0.4">
      <c r="C346" s="15"/>
    </row>
    <row r="347" spans="3:3" ht="15.75" customHeight="1" x14ac:dyDescent="0.4">
      <c r="C347" s="15"/>
    </row>
    <row r="348" spans="3:3" ht="15.75" customHeight="1" x14ac:dyDescent="0.4">
      <c r="C348" s="15"/>
    </row>
    <row r="349" spans="3:3" ht="15.75" customHeight="1" x14ac:dyDescent="0.4">
      <c r="C349" s="15"/>
    </row>
    <row r="350" spans="3:3" ht="15.75" customHeight="1" x14ac:dyDescent="0.4">
      <c r="C350" s="15"/>
    </row>
    <row r="351" spans="3:3" ht="15.75" customHeight="1" x14ac:dyDescent="0.4">
      <c r="C351" s="15"/>
    </row>
    <row r="352" spans="3:3" ht="15.75" customHeight="1" x14ac:dyDescent="0.4">
      <c r="C352" s="15"/>
    </row>
    <row r="353" spans="3:3" ht="15.75" customHeight="1" x14ac:dyDescent="0.4">
      <c r="C353" s="15"/>
    </row>
    <row r="354" spans="3:3" ht="15.75" customHeight="1" x14ac:dyDescent="0.4">
      <c r="C354" s="15"/>
    </row>
    <row r="355" spans="3:3" ht="15.75" customHeight="1" x14ac:dyDescent="0.4">
      <c r="C355" s="15"/>
    </row>
    <row r="356" spans="3:3" ht="15.75" customHeight="1" x14ac:dyDescent="0.4">
      <c r="C356" s="15"/>
    </row>
    <row r="357" spans="3:3" ht="15.75" customHeight="1" x14ac:dyDescent="0.4">
      <c r="C357" s="15"/>
    </row>
    <row r="358" spans="3:3" ht="15.75" customHeight="1" x14ac:dyDescent="0.4">
      <c r="C358" s="15"/>
    </row>
    <row r="359" spans="3:3" ht="15.75" customHeight="1" x14ac:dyDescent="0.4">
      <c r="C359" s="15"/>
    </row>
    <row r="360" spans="3:3" ht="15.75" customHeight="1" x14ac:dyDescent="0.4">
      <c r="C360" s="15"/>
    </row>
    <row r="361" spans="3:3" ht="15.75" customHeight="1" x14ac:dyDescent="0.4">
      <c r="C361" s="15"/>
    </row>
    <row r="362" spans="3:3" ht="15.75" customHeight="1" x14ac:dyDescent="0.4">
      <c r="C362" s="15"/>
    </row>
    <row r="363" spans="3:3" ht="15.75" customHeight="1" x14ac:dyDescent="0.4">
      <c r="C363" s="15"/>
    </row>
    <row r="364" spans="3:3" ht="15.75" customHeight="1" x14ac:dyDescent="0.4">
      <c r="C364" s="15"/>
    </row>
    <row r="365" spans="3:3" ht="15.75" customHeight="1" x14ac:dyDescent="0.4">
      <c r="C365" s="15"/>
    </row>
    <row r="366" spans="3:3" ht="15.75" customHeight="1" x14ac:dyDescent="0.4">
      <c r="C366" s="15"/>
    </row>
    <row r="367" spans="3:3" ht="15.75" customHeight="1" x14ac:dyDescent="0.4">
      <c r="C367" s="15"/>
    </row>
    <row r="368" spans="3:3" ht="15.75" customHeight="1" x14ac:dyDescent="0.4">
      <c r="C368" s="15"/>
    </row>
    <row r="369" spans="3:3" ht="15.75" customHeight="1" x14ac:dyDescent="0.4">
      <c r="C369" s="15"/>
    </row>
    <row r="370" spans="3:3" ht="15.75" customHeight="1" x14ac:dyDescent="0.4">
      <c r="C370" s="15"/>
    </row>
    <row r="371" spans="3:3" ht="15.75" customHeight="1" x14ac:dyDescent="0.4">
      <c r="C371" s="15"/>
    </row>
    <row r="372" spans="3:3" ht="15.75" customHeight="1" x14ac:dyDescent="0.4">
      <c r="C372" s="15"/>
    </row>
    <row r="373" spans="3:3" ht="15.75" customHeight="1" x14ac:dyDescent="0.4">
      <c r="C373" s="15"/>
    </row>
    <row r="374" spans="3:3" ht="15.75" customHeight="1" x14ac:dyDescent="0.4">
      <c r="C374" s="15"/>
    </row>
    <row r="375" spans="3:3" ht="15.75" customHeight="1" x14ac:dyDescent="0.4">
      <c r="C375" s="15"/>
    </row>
    <row r="376" spans="3:3" ht="15.75" customHeight="1" x14ac:dyDescent="0.4">
      <c r="C376" s="15"/>
    </row>
    <row r="377" spans="3:3" ht="15.75" customHeight="1" x14ac:dyDescent="0.4">
      <c r="C377" s="15"/>
    </row>
    <row r="378" spans="3:3" ht="15.75" customHeight="1" x14ac:dyDescent="0.4">
      <c r="C378" s="15"/>
    </row>
    <row r="379" spans="3:3" ht="15.75" customHeight="1" x14ac:dyDescent="0.4">
      <c r="C379" s="15"/>
    </row>
    <row r="380" spans="3:3" ht="15.75" customHeight="1" x14ac:dyDescent="0.4">
      <c r="C380" s="15"/>
    </row>
    <row r="381" spans="3:3" ht="15.75" customHeight="1" x14ac:dyDescent="0.4">
      <c r="C381" s="15"/>
    </row>
    <row r="382" spans="3:3" ht="15.75" customHeight="1" x14ac:dyDescent="0.4">
      <c r="C382" s="15"/>
    </row>
    <row r="383" spans="3:3" ht="15.75" customHeight="1" x14ac:dyDescent="0.4">
      <c r="C383" s="15"/>
    </row>
    <row r="384" spans="3:3" ht="15.75" customHeight="1" x14ac:dyDescent="0.4">
      <c r="C384" s="15"/>
    </row>
    <row r="385" spans="3:3" ht="15.75" customHeight="1" x14ac:dyDescent="0.4">
      <c r="C385" s="15"/>
    </row>
    <row r="386" spans="3:3" ht="15.75" customHeight="1" x14ac:dyDescent="0.4">
      <c r="C386" s="15"/>
    </row>
    <row r="387" spans="3:3" ht="15.75" customHeight="1" x14ac:dyDescent="0.4">
      <c r="C387" s="15"/>
    </row>
    <row r="388" spans="3:3" ht="15.75" customHeight="1" x14ac:dyDescent="0.4">
      <c r="C388" s="15"/>
    </row>
    <row r="389" spans="3:3" ht="15.75" customHeight="1" x14ac:dyDescent="0.4">
      <c r="C389" s="15"/>
    </row>
    <row r="390" spans="3:3" ht="15.75" customHeight="1" x14ac:dyDescent="0.4">
      <c r="C390" s="15"/>
    </row>
    <row r="391" spans="3:3" ht="15.75" customHeight="1" x14ac:dyDescent="0.4">
      <c r="C391" s="15"/>
    </row>
    <row r="392" spans="3:3" ht="15.75" customHeight="1" x14ac:dyDescent="0.4">
      <c r="C392" s="15"/>
    </row>
    <row r="393" spans="3:3" ht="15.75" customHeight="1" x14ac:dyDescent="0.4">
      <c r="C393" s="15"/>
    </row>
    <row r="394" spans="3:3" ht="15.75" customHeight="1" x14ac:dyDescent="0.4">
      <c r="C394" s="15"/>
    </row>
    <row r="395" spans="3:3" ht="15.75" customHeight="1" x14ac:dyDescent="0.4">
      <c r="C395" s="15"/>
    </row>
    <row r="396" spans="3:3" ht="15.75" customHeight="1" x14ac:dyDescent="0.4">
      <c r="C396" s="15"/>
    </row>
    <row r="397" spans="3:3" ht="15.75" customHeight="1" x14ac:dyDescent="0.4">
      <c r="C397" s="15"/>
    </row>
    <row r="398" spans="3:3" ht="15.75" customHeight="1" x14ac:dyDescent="0.4">
      <c r="C398" s="15"/>
    </row>
    <row r="399" spans="3:3" ht="15.75" customHeight="1" x14ac:dyDescent="0.4">
      <c r="C399" s="15"/>
    </row>
    <row r="400" spans="3:3" ht="15.75" customHeight="1" x14ac:dyDescent="0.4">
      <c r="C400" s="15"/>
    </row>
    <row r="401" spans="3:3" ht="15.75" customHeight="1" x14ac:dyDescent="0.4">
      <c r="C401" s="15"/>
    </row>
    <row r="402" spans="3:3" ht="15.75" customHeight="1" x14ac:dyDescent="0.4">
      <c r="C402" s="15"/>
    </row>
    <row r="403" spans="3:3" ht="15.75" customHeight="1" x14ac:dyDescent="0.4">
      <c r="C403" s="15"/>
    </row>
    <row r="404" spans="3:3" ht="15.75" customHeight="1" x14ac:dyDescent="0.4">
      <c r="C404" s="15"/>
    </row>
    <row r="405" spans="3:3" ht="15.75" customHeight="1" x14ac:dyDescent="0.4">
      <c r="C405" s="15"/>
    </row>
    <row r="406" spans="3:3" ht="15.75" customHeight="1" x14ac:dyDescent="0.4">
      <c r="C406" s="15"/>
    </row>
    <row r="407" spans="3:3" ht="15.75" customHeight="1" x14ac:dyDescent="0.4">
      <c r="C407" s="15"/>
    </row>
    <row r="408" spans="3:3" ht="15.75" customHeight="1" x14ac:dyDescent="0.4">
      <c r="C408" s="15"/>
    </row>
    <row r="409" spans="3:3" ht="15.75" customHeight="1" x14ac:dyDescent="0.4">
      <c r="C409" s="15"/>
    </row>
    <row r="410" spans="3:3" ht="15.75" customHeight="1" x14ac:dyDescent="0.4">
      <c r="C410" s="15"/>
    </row>
    <row r="411" spans="3:3" ht="15.75" customHeight="1" x14ac:dyDescent="0.4">
      <c r="C411" s="15"/>
    </row>
    <row r="412" spans="3:3" ht="15.75" customHeight="1" x14ac:dyDescent="0.4">
      <c r="C412" s="15"/>
    </row>
    <row r="413" spans="3:3" ht="15.75" customHeight="1" x14ac:dyDescent="0.4">
      <c r="C413" s="15"/>
    </row>
    <row r="414" spans="3:3" ht="15.75" customHeight="1" x14ac:dyDescent="0.4">
      <c r="C414" s="15"/>
    </row>
    <row r="415" spans="3:3" ht="15.75" customHeight="1" x14ac:dyDescent="0.4">
      <c r="C415" s="15"/>
    </row>
    <row r="416" spans="3:3" ht="15.75" customHeight="1" x14ac:dyDescent="0.4">
      <c r="C416" s="15"/>
    </row>
    <row r="417" spans="3:3" ht="15.75" customHeight="1" x14ac:dyDescent="0.4">
      <c r="C417" s="15"/>
    </row>
    <row r="418" spans="3:3" ht="15.75" customHeight="1" x14ac:dyDescent="0.4">
      <c r="C418" s="15"/>
    </row>
    <row r="419" spans="3:3" ht="15.75" customHeight="1" x14ac:dyDescent="0.4">
      <c r="C419" s="15"/>
    </row>
    <row r="420" spans="3:3" ht="15.75" customHeight="1" x14ac:dyDescent="0.4">
      <c r="C420" s="15"/>
    </row>
    <row r="421" spans="3:3" ht="15.75" customHeight="1" x14ac:dyDescent="0.4">
      <c r="C421" s="15"/>
    </row>
    <row r="422" spans="3:3" ht="15.75" customHeight="1" x14ac:dyDescent="0.4">
      <c r="C422" s="15"/>
    </row>
    <row r="423" spans="3:3" ht="15.75" customHeight="1" x14ac:dyDescent="0.4">
      <c r="C423" s="15"/>
    </row>
    <row r="424" spans="3:3" ht="15.75" customHeight="1" x14ac:dyDescent="0.4">
      <c r="C424" s="15"/>
    </row>
    <row r="425" spans="3:3" ht="15.75" customHeight="1" x14ac:dyDescent="0.4">
      <c r="C425" s="15"/>
    </row>
    <row r="426" spans="3:3" ht="15.75" customHeight="1" x14ac:dyDescent="0.4">
      <c r="C426" s="15"/>
    </row>
    <row r="427" spans="3:3" ht="15.75" customHeight="1" x14ac:dyDescent="0.4">
      <c r="C427" s="15"/>
    </row>
    <row r="428" spans="3:3" ht="15.75" customHeight="1" x14ac:dyDescent="0.4">
      <c r="C428" s="15"/>
    </row>
    <row r="429" spans="3:3" ht="15.75" customHeight="1" x14ac:dyDescent="0.4">
      <c r="C429" s="15"/>
    </row>
    <row r="430" spans="3:3" ht="15.75" customHeight="1" x14ac:dyDescent="0.4">
      <c r="C430" s="15"/>
    </row>
    <row r="431" spans="3:3" ht="15.75" customHeight="1" x14ac:dyDescent="0.4">
      <c r="C431" s="15"/>
    </row>
    <row r="432" spans="3:3" ht="15.75" customHeight="1" x14ac:dyDescent="0.4">
      <c r="C432" s="15"/>
    </row>
    <row r="433" spans="3:3" ht="15.75" customHeight="1" x14ac:dyDescent="0.4">
      <c r="C433" s="15"/>
    </row>
    <row r="434" spans="3:3" ht="15.75" customHeight="1" x14ac:dyDescent="0.4">
      <c r="C434" s="15"/>
    </row>
    <row r="435" spans="3:3" ht="15.75" customHeight="1" x14ac:dyDescent="0.4">
      <c r="C435" s="15"/>
    </row>
    <row r="436" spans="3:3" ht="15.75" customHeight="1" x14ac:dyDescent="0.4">
      <c r="C436" s="15"/>
    </row>
    <row r="437" spans="3:3" ht="15.75" customHeight="1" x14ac:dyDescent="0.4">
      <c r="C437" s="15"/>
    </row>
    <row r="438" spans="3:3" ht="15.75" customHeight="1" x14ac:dyDescent="0.4">
      <c r="C438" s="15"/>
    </row>
    <row r="439" spans="3:3" ht="15.75" customHeight="1" x14ac:dyDescent="0.4">
      <c r="C439" s="15"/>
    </row>
    <row r="440" spans="3:3" ht="15.75" customHeight="1" x14ac:dyDescent="0.4">
      <c r="C440" s="15"/>
    </row>
    <row r="441" spans="3:3" ht="15.75" customHeight="1" x14ac:dyDescent="0.4">
      <c r="C441" s="15"/>
    </row>
    <row r="442" spans="3:3" ht="15.75" customHeight="1" x14ac:dyDescent="0.4">
      <c r="C442" s="15"/>
    </row>
    <row r="443" spans="3:3" ht="15.75" customHeight="1" x14ac:dyDescent="0.4">
      <c r="C443" s="15"/>
    </row>
    <row r="444" spans="3:3" ht="15.75" customHeight="1" x14ac:dyDescent="0.4">
      <c r="C444" s="15"/>
    </row>
    <row r="445" spans="3:3" ht="15.75" customHeight="1" x14ac:dyDescent="0.4">
      <c r="C445" s="15"/>
    </row>
    <row r="446" spans="3:3" ht="15.75" customHeight="1" x14ac:dyDescent="0.4">
      <c r="C446" s="15"/>
    </row>
    <row r="447" spans="3:3" ht="15.75" customHeight="1" x14ac:dyDescent="0.4">
      <c r="C447" s="15"/>
    </row>
    <row r="448" spans="3:3" ht="15.75" customHeight="1" x14ac:dyDescent="0.4">
      <c r="C448" s="15"/>
    </row>
    <row r="449" spans="3:3" ht="15.75" customHeight="1" x14ac:dyDescent="0.4">
      <c r="C449" s="15"/>
    </row>
    <row r="450" spans="3:3" ht="15.75" customHeight="1" x14ac:dyDescent="0.4">
      <c r="C450" s="15"/>
    </row>
    <row r="451" spans="3:3" ht="15.75" customHeight="1" x14ac:dyDescent="0.4">
      <c r="C451" s="15"/>
    </row>
    <row r="452" spans="3:3" ht="15.75" customHeight="1" x14ac:dyDescent="0.4">
      <c r="C452" s="15"/>
    </row>
    <row r="453" spans="3:3" ht="15.75" customHeight="1" x14ac:dyDescent="0.4">
      <c r="C453" s="15"/>
    </row>
    <row r="454" spans="3:3" ht="15.75" customHeight="1" x14ac:dyDescent="0.4">
      <c r="C454" s="15"/>
    </row>
    <row r="455" spans="3:3" ht="15.75" customHeight="1" x14ac:dyDescent="0.4">
      <c r="C455" s="15"/>
    </row>
    <row r="456" spans="3:3" ht="15.75" customHeight="1" x14ac:dyDescent="0.4">
      <c r="C456" s="15"/>
    </row>
    <row r="457" spans="3:3" ht="15.75" customHeight="1" x14ac:dyDescent="0.4">
      <c r="C457" s="15"/>
    </row>
    <row r="458" spans="3:3" ht="15.75" customHeight="1" x14ac:dyDescent="0.4">
      <c r="C458" s="15"/>
    </row>
    <row r="459" spans="3:3" ht="15.75" customHeight="1" x14ac:dyDescent="0.4">
      <c r="C459" s="15"/>
    </row>
    <row r="460" spans="3:3" ht="15.75" customHeight="1" x14ac:dyDescent="0.4">
      <c r="C460" s="15"/>
    </row>
    <row r="461" spans="3:3" ht="15.75" customHeight="1" x14ac:dyDescent="0.4">
      <c r="C461" s="15"/>
    </row>
    <row r="462" spans="3:3" ht="15.75" customHeight="1" x14ac:dyDescent="0.4">
      <c r="C462" s="15"/>
    </row>
    <row r="463" spans="3:3" ht="15.75" customHeight="1" x14ac:dyDescent="0.4">
      <c r="C463" s="15"/>
    </row>
    <row r="464" spans="3:3" ht="15.75" customHeight="1" x14ac:dyDescent="0.4">
      <c r="C464" s="15"/>
    </row>
    <row r="465" spans="3:3" ht="15.75" customHeight="1" x14ac:dyDescent="0.4">
      <c r="C465" s="15"/>
    </row>
    <row r="466" spans="3:3" ht="15.75" customHeight="1" x14ac:dyDescent="0.4">
      <c r="C466" s="15"/>
    </row>
    <row r="467" spans="3:3" ht="15.75" customHeight="1" x14ac:dyDescent="0.4">
      <c r="C467" s="15"/>
    </row>
    <row r="468" spans="3:3" ht="15.75" customHeight="1" x14ac:dyDescent="0.4">
      <c r="C468" s="15"/>
    </row>
    <row r="469" spans="3:3" ht="15.75" customHeight="1" x14ac:dyDescent="0.4">
      <c r="C469" s="15"/>
    </row>
    <row r="470" spans="3:3" ht="15.75" customHeight="1" x14ac:dyDescent="0.4">
      <c r="C470" s="15"/>
    </row>
    <row r="471" spans="3:3" ht="15.75" customHeight="1" x14ac:dyDescent="0.4">
      <c r="C471" s="15"/>
    </row>
    <row r="472" spans="3:3" ht="15.75" customHeight="1" x14ac:dyDescent="0.4">
      <c r="C472" s="15"/>
    </row>
    <row r="473" spans="3:3" ht="15.75" customHeight="1" x14ac:dyDescent="0.4">
      <c r="C473" s="15"/>
    </row>
    <row r="474" spans="3:3" ht="15.75" customHeight="1" x14ac:dyDescent="0.4">
      <c r="C474" s="15"/>
    </row>
    <row r="475" spans="3:3" ht="15.75" customHeight="1" x14ac:dyDescent="0.4">
      <c r="C475" s="15"/>
    </row>
    <row r="476" spans="3:3" ht="15.75" customHeight="1" x14ac:dyDescent="0.4">
      <c r="C476" s="15"/>
    </row>
    <row r="477" spans="3:3" ht="15.75" customHeight="1" x14ac:dyDescent="0.4">
      <c r="C477" s="15"/>
    </row>
    <row r="478" spans="3:3" ht="15.75" customHeight="1" x14ac:dyDescent="0.4">
      <c r="C478" s="15"/>
    </row>
    <row r="479" spans="3:3" ht="15.75" customHeight="1" x14ac:dyDescent="0.4">
      <c r="C479" s="15"/>
    </row>
    <row r="480" spans="3:3" ht="15.75" customHeight="1" x14ac:dyDescent="0.4">
      <c r="C480" s="15"/>
    </row>
    <row r="481" spans="3:3" ht="15.75" customHeight="1" x14ac:dyDescent="0.4">
      <c r="C481" s="15"/>
    </row>
    <row r="482" spans="3:3" ht="15.75" customHeight="1" x14ac:dyDescent="0.4">
      <c r="C482" s="15"/>
    </row>
    <row r="483" spans="3:3" ht="15.75" customHeight="1" x14ac:dyDescent="0.4">
      <c r="C483" s="15"/>
    </row>
    <row r="484" spans="3:3" ht="15.75" customHeight="1" x14ac:dyDescent="0.4">
      <c r="C484" s="15"/>
    </row>
    <row r="485" spans="3:3" ht="15.75" customHeight="1" x14ac:dyDescent="0.4">
      <c r="C485" s="15"/>
    </row>
    <row r="486" spans="3:3" ht="15.75" customHeight="1" x14ac:dyDescent="0.4">
      <c r="C486" s="15"/>
    </row>
    <row r="487" spans="3:3" ht="15.75" customHeight="1" x14ac:dyDescent="0.4">
      <c r="C487" s="15"/>
    </row>
    <row r="488" spans="3:3" ht="15.75" customHeight="1" x14ac:dyDescent="0.4">
      <c r="C488" s="15"/>
    </row>
    <row r="489" spans="3:3" ht="15.75" customHeight="1" x14ac:dyDescent="0.4">
      <c r="C489" s="15"/>
    </row>
    <row r="490" spans="3:3" ht="15.75" customHeight="1" x14ac:dyDescent="0.4">
      <c r="C490" s="15"/>
    </row>
    <row r="491" spans="3:3" ht="15.75" customHeight="1" x14ac:dyDescent="0.4">
      <c r="C491" s="15"/>
    </row>
    <row r="492" spans="3:3" ht="15.75" customHeight="1" x14ac:dyDescent="0.4">
      <c r="C492" s="15"/>
    </row>
    <row r="493" spans="3:3" ht="15.75" customHeight="1" x14ac:dyDescent="0.4">
      <c r="C493" s="15"/>
    </row>
    <row r="494" spans="3:3" ht="15.75" customHeight="1" x14ac:dyDescent="0.4">
      <c r="C494" s="15"/>
    </row>
    <row r="495" spans="3:3" ht="15.75" customHeight="1" x14ac:dyDescent="0.4">
      <c r="C495" s="15"/>
    </row>
    <row r="496" spans="3:3" ht="15.75" customHeight="1" x14ac:dyDescent="0.4">
      <c r="C496" s="15"/>
    </row>
    <row r="497" spans="3:3" ht="15.75" customHeight="1" x14ac:dyDescent="0.4">
      <c r="C497" s="15"/>
    </row>
    <row r="498" spans="3:3" ht="15.75" customHeight="1" x14ac:dyDescent="0.4">
      <c r="C498" s="15"/>
    </row>
    <row r="499" spans="3:3" ht="15.75" customHeight="1" x14ac:dyDescent="0.4">
      <c r="C499" s="15"/>
    </row>
    <row r="500" spans="3:3" ht="15.75" customHeight="1" x14ac:dyDescent="0.4">
      <c r="C500" s="15"/>
    </row>
    <row r="501" spans="3:3" ht="15.75" customHeight="1" x14ac:dyDescent="0.4">
      <c r="C501" s="15"/>
    </row>
    <row r="502" spans="3:3" ht="15.75" customHeight="1" x14ac:dyDescent="0.4">
      <c r="C502" s="15"/>
    </row>
    <row r="503" spans="3:3" ht="15.75" customHeight="1" x14ac:dyDescent="0.4">
      <c r="C503" s="15"/>
    </row>
    <row r="504" spans="3:3" ht="15.75" customHeight="1" x14ac:dyDescent="0.4">
      <c r="C504" s="15"/>
    </row>
    <row r="505" spans="3:3" ht="15.75" customHeight="1" x14ac:dyDescent="0.4">
      <c r="C505" s="15"/>
    </row>
    <row r="506" spans="3:3" ht="15.75" customHeight="1" x14ac:dyDescent="0.4">
      <c r="C506" s="15"/>
    </row>
    <row r="507" spans="3:3" ht="15.75" customHeight="1" x14ac:dyDescent="0.4">
      <c r="C507" s="15"/>
    </row>
    <row r="508" spans="3:3" ht="15.75" customHeight="1" x14ac:dyDescent="0.4">
      <c r="C508" s="15"/>
    </row>
    <row r="509" spans="3:3" ht="15.75" customHeight="1" x14ac:dyDescent="0.4">
      <c r="C509" s="15"/>
    </row>
    <row r="510" spans="3:3" ht="15.75" customHeight="1" x14ac:dyDescent="0.4">
      <c r="C510" s="15"/>
    </row>
    <row r="511" spans="3:3" ht="15.75" customHeight="1" x14ac:dyDescent="0.4">
      <c r="C511" s="15"/>
    </row>
    <row r="512" spans="3:3" ht="15.75" customHeight="1" x14ac:dyDescent="0.4">
      <c r="C512" s="15"/>
    </row>
    <row r="513" spans="3:3" ht="15.75" customHeight="1" x14ac:dyDescent="0.4">
      <c r="C513" s="15"/>
    </row>
    <row r="514" spans="3:3" ht="15.75" customHeight="1" x14ac:dyDescent="0.4">
      <c r="C514" s="15"/>
    </row>
    <row r="515" spans="3:3" ht="15.75" customHeight="1" x14ac:dyDescent="0.4">
      <c r="C515" s="15"/>
    </row>
    <row r="516" spans="3:3" ht="15.75" customHeight="1" x14ac:dyDescent="0.4">
      <c r="C516" s="15"/>
    </row>
    <row r="517" spans="3:3" ht="15.75" customHeight="1" x14ac:dyDescent="0.4">
      <c r="C517" s="15"/>
    </row>
    <row r="518" spans="3:3" ht="15.75" customHeight="1" x14ac:dyDescent="0.4">
      <c r="C518" s="15"/>
    </row>
    <row r="519" spans="3:3" ht="15.75" customHeight="1" x14ac:dyDescent="0.4">
      <c r="C519" s="15"/>
    </row>
    <row r="520" spans="3:3" ht="15.75" customHeight="1" x14ac:dyDescent="0.4">
      <c r="C520" s="15"/>
    </row>
    <row r="521" spans="3:3" ht="15.75" customHeight="1" x14ac:dyDescent="0.4">
      <c r="C521" s="15"/>
    </row>
    <row r="522" spans="3:3" ht="15.75" customHeight="1" x14ac:dyDescent="0.4">
      <c r="C522" s="15"/>
    </row>
    <row r="523" spans="3:3" ht="15.75" customHeight="1" x14ac:dyDescent="0.4">
      <c r="C523" s="15"/>
    </row>
    <row r="524" spans="3:3" ht="15.75" customHeight="1" x14ac:dyDescent="0.4">
      <c r="C524" s="15"/>
    </row>
    <row r="525" spans="3:3" ht="15.75" customHeight="1" x14ac:dyDescent="0.4">
      <c r="C525" s="15"/>
    </row>
    <row r="526" spans="3:3" ht="15.75" customHeight="1" x14ac:dyDescent="0.4">
      <c r="C526" s="15"/>
    </row>
    <row r="527" spans="3:3" ht="15.75" customHeight="1" x14ac:dyDescent="0.4">
      <c r="C527" s="15"/>
    </row>
    <row r="528" spans="3:3" ht="15.75" customHeight="1" x14ac:dyDescent="0.4">
      <c r="C528" s="15"/>
    </row>
    <row r="529" spans="3:3" ht="15.75" customHeight="1" x14ac:dyDescent="0.4">
      <c r="C529" s="15"/>
    </row>
    <row r="530" spans="3:3" ht="15.75" customHeight="1" x14ac:dyDescent="0.4">
      <c r="C530" s="15"/>
    </row>
    <row r="531" spans="3:3" ht="15.75" customHeight="1" x14ac:dyDescent="0.4">
      <c r="C531" s="15"/>
    </row>
    <row r="532" spans="3:3" ht="15.75" customHeight="1" x14ac:dyDescent="0.4">
      <c r="C532" s="15"/>
    </row>
    <row r="533" spans="3:3" ht="15.75" customHeight="1" x14ac:dyDescent="0.4">
      <c r="C533" s="15"/>
    </row>
    <row r="534" spans="3:3" ht="15.75" customHeight="1" x14ac:dyDescent="0.4">
      <c r="C534" s="15"/>
    </row>
    <row r="535" spans="3:3" ht="15.75" customHeight="1" x14ac:dyDescent="0.4">
      <c r="C535" s="15"/>
    </row>
    <row r="536" spans="3:3" ht="15.75" customHeight="1" x14ac:dyDescent="0.4">
      <c r="C536" s="15"/>
    </row>
    <row r="537" spans="3:3" ht="15.75" customHeight="1" x14ac:dyDescent="0.4">
      <c r="C537" s="15"/>
    </row>
    <row r="538" spans="3:3" ht="15.75" customHeight="1" x14ac:dyDescent="0.4">
      <c r="C538" s="15"/>
    </row>
    <row r="539" spans="3:3" ht="15.75" customHeight="1" x14ac:dyDescent="0.4">
      <c r="C539" s="15"/>
    </row>
    <row r="540" spans="3:3" ht="15.75" customHeight="1" x14ac:dyDescent="0.4">
      <c r="C540" s="15"/>
    </row>
    <row r="541" spans="3:3" ht="15.75" customHeight="1" x14ac:dyDescent="0.4">
      <c r="C541" s="15"/>
    </row>
    <row r="542" spans="3:3" ht="15.75" customHeight="1" x14ac:dyDescent="0.4">
      <c r="C542" s="15"/>
    </row>
    <row r="543" spans="3:3" ht="15.75" customHeight="1" x14ac:dyDescent="0.4">
      <c r="C543" s="15"/>
    </row>
    <row r="544" spans="3:3" ht="15.75" customHeight="1" x14ac:dyDescent="0.4">
      <c r="C544" s="15"/>
    </row>
    <row r="545" spans="3:3" ht="15.75" customHeight="1" x14ac:dyDescent="0.4">
      <c r="C545" s="15"/>
    </row>
    <row r="546" spans="3:3" ht="15.75" customHeight="1" x14ac:dyDescent="0.4">
      <c r="C546" s="15"/>
    </row>
    <row r="547" spans="3:3" ht="15.75" customHeight="1" x14ac:dyDescent="0.4">
      <c r="C547" s="15"/>
    </row>
    <row r="548" spans="3:3" ht="15.75" customHeight="1" x14ac:dyDescent="0.4">
      <c r="C548" s="15"/>
    </row>
    <row r="549" spans="3:3" ht="15.75" customHeight="1" x14ac:dyDescent="0.4">
      <c r="C549" s="15"/>
    </row>
    <row r="550" spans="3:3" ht="15.75" customHeight="1" x14ac:dyDescent="0.4">
      <c r="C550" s="15"/>
    </row>
    <row r="551" spans="3:3" ht="15.75" customHeight="1" x14ac:dyDescent="0.4">
      <c r="C551" s="15"/>
    </row>
    <row r="552" spans="3:3" ht="15.75" customHeight="1" x14ac:dyDescent="0.4">
      <c r="C552" s="15"/>
    </row>
    <row r="553" spans="3:3" ht="15.75" customHeight="1" x14ac:dyDescent="0.4">
      <c r="C553" s="15"/>
    </row>
    <row r="554" spans="3:3" ht="15.75" customHeight="1" x14ac:dyDescent="0.4">
      <c r="C554" s="15"/>
    </row>
    <row r="555" spans="3:3" ht="15.75" customHeight="1" x14ac:dyDescent="0.4">
      <c r="C555" s="15"/>
    </row>
    <row r="556" spans="3:3" ht="15.75" customHeight="1" x14ac:dyDescent="0.4">
      <c r="C556" s="15"/>
    </row>
    <row r="557" spans="3:3" ht="15.75" customHeight="1" x14ac:dyDescent="0.4">
      <c r="C557" s="15"/>
    </row>
    <row r="558" spans="3:3" ht="15.75" customHeight="1" x14ac:dyDescent="0.4">
      <c r="C558" s="15"/>
    </row>
    <row r="559" spans="3:3" ht="15.75" customHeight="1" x14ac:dyDescent="0.4">
      <c r="C559" s="15"/>
    </row>
    <row r="560" spans="3:3" ht="15.75" customHeight="1" x14ac:dyDescent="0.4">
      <c r="C560" s="15"/>
    </row>
    <row r="561" spans="3:3" ht="15.75" customHeight="1" x14ac:dyDescent="0.4">
      <c r="C561" s="15"/>
    </row>
    <row r="562" spans="3:3" ht="15.75" customHeight="1" x14ac:dyDescent="0.4">
      <c r="C562" s="15"/>
    </row>
    <row r="563" spans="3:3" ht="15.75" customHeight="1" x14ac:dyDescent="0.4">
      <c r="C563" s="15"/>
    </row>
    <row r="564" spans="3:3" ht="15.75" customHeight="1" x14ac:dyDescent="0.4">
      <c r="C564" s="15"/>
    </row>
    <row r="565" spans="3:3" ht="15.75" customHeight="1" x14ac:dyDescent="0.4">
      <c r="C565" s="15"/>
    </row>
    <row r="566" spans="3:3" ht="15.75" customHeight="1" x14ac:dyDescent="0.4">
      <c r="C566" s="15"/>
    </row>
    <row r="567" spans="3:3" ht="15.75" customHeight="1" x14ac:dyDescent="0.4">
      <c r="C567" s="15"/>
    </row>
    <row r="568" spans="3:3" ht="15.75" customHeight="1" x14ac:dyDescent="0.4">
      <c r="C568" s="15"/>
    </row>
    <row r="569" spans="3:3" ht="15.75" customHeight="1" x14ac:dyDescent="0.4">
      <c r="C569" s="15"/>
    </row>
    <row r="570" spans="3:3" ht="15.75" customHeight="1" x14ac:dyDescent="0.4">
      <c r="C570" s="15"/>
    </row>
    <row r="571" spans="3:3" ht="15.75" customHeight="1" x14ac:dyDescent="0.4">
      <c r="C571" s="15"/>
    </row>
    <row r="572" spans="3:3" ht="15.75" customHeight="1" x14ac:dyDescent="0.4">
      <c r="C572" s="15"/>
    </row>
    <row r="573" spans="3:3" ht="15.75" customHeight="1" x14ac:dyDescent="0.4">
      <c r="C573" s="15"/>
    </row>
    <row r="574" spans="3:3" ht="15.75" customHeight="1" x14ac:dyDescent="0.4">
      <c r="C574" s="15"/>
    </row>
    <row r="575" spans="3:3" ht="15.75" customHeight="1" x14ac:dyDescent="0.4">
      <c r="C575" s="15"/>
    </row>
    <row r="576" spans="3:3" ht="15.75" customHeight="1" x14ac:dyDescent="0.4">
      <c r="C576" s="15"/>
    </row>
    <row r="577" spans="3:3" ht="15.75" customHeight="1" x14ac:dyDescent="0.4">
      <c r="C577" s="15"/>
    </row>
    <row r="578" spans="3:3" ht="15.75" customHeight="1" x14ac:dyDescent="0.4">
      <c r="C578" s="15"/>
    </row>
    <row r="579" spans="3:3" ht="15.75" customHeight="1" x14ac:dyDescent="0.4">
      <c r="C579" s="15"/>
    </row>
    <row r="580" spans="3:3" ht="15.75" customHeight="1" x14ac:dyDescent="0.4">
      <c r="C580" s="15"/>
    </row>
    <row r="581" spans="3:3" ht="15.75" customHeight="1" x14ac:dyDescent="0.4">
      <c r="C581" s="15"/>
    </row>
    <row r="582" spans="3:3" ht="15.75" customHeight="1" x14ac:dyDescent="0.4">
      <c r="C582" s="15"/>
    </row>
    <row r="583" spans="3:3" ht="15.75" customHeight="1" x14ac:dyDescent="0.4">
      <c r="C583" s="15"/>
    </row>
    <row r="584" spans="3:3" ht="15.75" customHeight="1" x14ac:dyDescent="0.4">
      <c r="C584" s="15"/>
    </row>
    <row r="585" spans="3:3" ht="15.75" customHeight="1" x14ac:dyDescent="0.4">
      <c r="C585" s="15"/>
    </row>
    <row r="586" spans="3:3" ht="15.75" customHeight="1" x14ac:dyDescent="0.4">
      <c r="C586" s="15"/>
    </row>
    <row r="587" spans="3:3" ht="15.75" customHeight="1" x14ac:dyDescent="0.4">
      <c r="C587" s="15"/>
    </row>
    <row r="588" spans="3:3" ht="15.75" customHeight="1" x14ac:dyDescent="0.4">
      <c r="C588" s="15"/>
    </row>
    <row r="589" spans="3:3" ht="15.75" customHeight="1" x14ac:dyDescent="0.4">
      <c r="C589" s="15"/>
    </row>
    <row r="590" spans="3:3" ht="15.75" customHeight="1" x14ac:dyDescent="0.4">
      <c r="C590" s="15"/>
    </row>
    <row r="591" spans="3:3" ht="15.75" customHeight="1" x14ac:dyDescent="0.4">
      <c r="C591" s="15"/>
    </row>
    <row r="592" spans="3:3" ht="15.75" customHeight="1" x14ac:dyDescent="0.4">
      <c r="C592" s="15"/>
    </row>
    <row r="593" spans="3:3" ht="15.75" customHeight="1" x14ac:dyDescent="0.4">
      <c r="C593" s="15"/>
    </row>
    <row r="594" spans="3:3" ht="15.75" customHeight="1" x14ac:dyDescent="0.4">
      <c r="C594" s="15"/>
    </row>
    <row r="595" spans="3:3" ht="15.75" customHeight="1" x14ac:dyDescent="0.4">
      <c r="C595" s="15"/>
    </row>
    <row r="596" spans="3:3" ht="15.75" customHeight="1" x14ac:dyDescent="0.4">
      <c r="C596" s="15"/>
    </row>
    <row r="597" spans="3:3" ht="15.75" customHeight="1" x14ac:dyDescent="0.4">
      <c r="C597" s="15"/>
    </row>
    <row r="598" spans="3:3" ht="15.75" customHeight="1" x14ac:dyDescent="0.4">
      <c r="C598" s="15"/>
    </row>
    <row r="599" spans="3:3" ht="15.75" customHeight="1" x14ac:dyDescent="0.4">
      <c r="C599" s="15"/>
    </row>
    <row r="600" spans="3:3" ht="15.75" customHeight="1" x14ac:dyDescent="0.4">
      <c r="C600" s="15"/>
    </row>
    <row r="601" spans="3:3" ht="15.75" customHeight="1" x14ac:dyDescent="0.4">
      <c r="C601" s="15"/>
    </row>
    <row r="602" spans="3:3" ht="15.75" customHeight="1" x14ac:dyDescent="0.4">
      <c r="C602" s="15"/>
    </row>
    <row r="603" spans="3:3" ht="15.75" customHeight="1" x14ac:dyDescent="0.4">
      <c r="C603" s="15"/>
    </row>
    <row r="604" spans="3:3" ht="15.75" customHeight="1" x14ac:dyDescent="0.4">
      <c r="C604" s="15"/>
    </row>
    <row r="605" spans="3:3" ht="15.75" customHeight="1" x14ac:dyDescent="0.4">
      <c r="C605" s="15"/>
    </row>
    <row r="606" spans="3:3" ht="15.75" customHeight="1" x14ac:dyDescent="0.4">
      <c r="C606" s="15"/>
    </row>
    <row r="607" spans="3:3" ht="15.75" customHeight="1" x14ac:dyDescent="0.4">
      <c r="C607" s="15"/>
    </row>
    <row r="608" spans="3:3" ht="15.75" customHeight="1" x14ac:dyDescent="0.4">
      <c r="C608" s="15"/>
    </row>
    <row r="609" spans="3:3" ht="15.75" customHeight="1" x14ac:dyDescent="0.4">
      <c r="C609" s="15"/>
    </row>
    <row r="610" spans="3:3" ht="15.75" customHeight="1" x14ac:dyDescent="0.4">
      <c r="C610" s="15"/>
    </row>
    <row r="611" spans="3:3" ht="15.75" customHeight="1" x14ac:dyDescent="0.4">
      <c r="C611" s="15"/>
    </row>
    <row r="612" spans="3:3" ht="15.75" customHeight="1" x14ac:dyDescent="0.4">
      <c r="C612" s="15"/>
    </row>
    <row r="613" spans="3:3" ht="15.75" customHeight="1" x14ac:dyDescent="0.4">
      <c r="C613" s="15"/>
    </row>
    <row r="614" spans="3:3" ht="15.75" customHeight="1" x14ac:dyDescent="0.4">
      <c r="C614" s="15"/>
    </row>
    <row r="615" spans="3:3" ht="15.75" customHeight="1" x14ac:dyDescent="0.4">
      <c r="C615" s="15"/>
    </row>
    <row r="616" spans="3:3" ht="15.75" customHeight="1" x14ac:dyDescent="0.4">
      <c r="C616" s="15"/>
    </row>
    <row r="617" spans="3:3" ht="15.75" customHeight="1" x14ac:dyDescent="0.4">
      <c r="C617" s="15"/>
    </row>
    <row r="618" spans="3:3" ht="15.75" customHeight="1" x14ac:dyDescent="0.4">
      <c r="C618" s="15"/>
    </row>
    <row r="619" spans="3:3" ht="15.75" customHeight="1" x14ac:dyDescent="0.4">
      <c r="C619" s="15"/>
    </row>
    <row r="620" spans="3:3" ht="15.75" customHeight="1" x14ac:dyDescent="0.4">
      <c r="C620" s="15"/>
    </row>
    <row r="621" spans="3:3" ht="15.75" customHeight="1" x14ac:dyDescent="0.4">
      <c r="C621" s="15"/>
    </row>
    <row r="622" spans="3:3" ht="15.75" customHeight="1" x14ac:dyDescent="0.4">
      <c r="C622" s="15"/>
    </row>
    <row r="623" spans="3:3" ht="15.75" customHeight="1" x14ac:dyDescent="0.4">
      <c r="C623" s="15"/>
    </row>
    <row r="624" spans="3:3" ht="15.75" customHeight="1" x14ac:dyDescent="0.4">
      <c r="C624" s="15"/>
    </row>
    <row r="625" spans="3:3" ht="15.75" customHeight="1" x14ac:dyDescent="0.4">
      <c r="C625" s="15"/>
    </row>
    <row r="626" spans="3:3" ht="15.75" customHeight="1" x14ac:dyDescent="0.4">
      <c r="C626" s="15"/>
    </row>
    <row r="627" spans="3:3" ht="15.75" customHeight="1" x14ac:dyDescent="0.4">
      <c r="C627" s="15"/>
    </row>
    <row r="628" spans="3:3" ht="15.75" customHeight="1" x14ac:dyDescent="0.4">
      <c r="C628" s="15"/>
    </row>
    <row r="629" spans="3:3" ht="15.75" customHeight="1" x14ac:dyDescent="0.4">
      <c r="C629" s="15"/>
    </row>
    <row r="630" spans="3:3" ht="15.75" customHeight="1" x14ac:dyDescent="0.4">
      <c r="C630" s="15"/>
    </row>
    <row r="631" spans="3:3" ht="15.75" customHeight="1" x14ac:dyDescent="0.4">
      <c r="C631" s="15"/>
    </row>
    <row r="632" spans="3:3" ht="15.75" customHeight="1" x14ac:dyDescent="0.4">
      <c r="C632" s="15"/>
    </row>
    <row r="633" spans="3:3" ht="15.75" customHeight="1" x14ac:dyDescent="0.4">
      <c r="C633" s="15"/>
    </row>
    <row r="634" spans="3:3" ht="15.75" customHeight="1" x14ac:dyDescent="0.4">
      <c r="C634" s="15"/>
    </row>
    <row r="635" spans="3:3" ht="15.75" customHeight="1" x14ac:dyDescent="0.4">
      <c r="C635" s="15"/>
    </row>
    <row r="636" spans="3:3" ht="15.75" customHeight="1" x14ac:dyDescent="0.4">
      <c r="C636" s="15"/>
    </row>
    <row r="637" spans="3:3" ht="15.75" customHeight="1" x14ac:dyDescent="0.4">
      <c r="C637" s="15"/>
    </row>
    <row r="638" spans="3:3" ht="15.75" customHeight="1" x14ac:dyDescent="0.4">
      <c r="C638" s="15"/>
    </row>
    <row r="639" spans="3:3" ht="15.75" customHeight="1" x14ac:dyDescent="0.4">
      <c r="C639" s="15"/>
    </row>
    <row r="640" spans="3:3" ht="15.75" customHeight="1" x14ac:dyDescent="0.4">
      <c r="C640" s="15"/>
    </row>
    <row r="641" spans="3:3" ht="15.75" customHeight="1" x14ac:dyDescent="0.4">
      <c r="C641" s="15"/>
    </row>
    <row r="642" spans="3:3" ht="15.75" customHeight="1" x14ac:dyDescent="0.4">
      <c r="C642" s="15"/>
    </row>
    <row r="643" spans="3:3" ht="15.75" customHeight="1" x14ac:dyDescent="0.4">
      <c r="C643" s="15"/>
    </row>
    <row r="644" spans="3:3" ht="15.75" customHeight="1" x14ac:dyDescent="0.4">
      <c r="C644" s="15"/>
    </row>
    <row r="645" spans="3:3" ht="15.75" customHeight="1" x14ac:dyDescent="0.4">
      <c r="C645" s="15"/>
    </row>
    <row r="646" spans="3:3" ht="15.75" customHeight="1" x14ac:dyDescent="0.4">
      <c r="C646" s="15"/>
    </row>
    <row r="647" spans="3:3" ht="15.75" customHeight="1" x14ac:dyDescent="0.4">
      <c r="C647" s="15"/>
    </row>
    <row r="648" spans="3:3" ht="15.75" customHeight="1" x14ac:dyDescent="0.4">
      <c r="C648" s="15"/>
    </row>
    <row r="649" spans="3:3" ht="15.75" customHeight="1" x14ac:dyDescent="0.4">
      <c r="C649" s="15"/>
    </row>
    <row r="650" spans="3:3" ht="15.75" customHeight="1" x14ac:dyDescent="0.4">
      <c r="C650" s="15"/>
    </row>
    <row r="651" spans="3:3" ht="15.75" customHeight="1" x14ac:dyDescent="0.4">
      <c r="C651" s="15"/>
    </row>
    <row r="652" spans="3:3" ht="15.75" customHeight="1" x14ac:dyDescent="0.4">
      <c r="C652" s="15"/>
    </row>
    <row r="653" spans="3:3" ht="15.75" customHeight="1" x14ac:dyDescent="0.4">
      <c r="C653" s="15"/>
    </row>
    <row r="654" spans="3:3" ht="15.75" customHeight="1" x14ac:dyDescent="0.4">
      <c r="C654" s="15"/>
    </row>
    <row r="655" spans="3:3" ht="15.75" customHeight="1" x14ac:dyDescent="0.4">
      <c r="C655" s="15"/>
    </row>
    <row r="656" spans="3:3" ht="15.75" customHeight="1" x14ac:dyDescent="0.4">
      <c r="C656" s="15"/>
    </row>
    <row r="657" spans="3:3" ht="15.75" customHeight="1" x14ac:dyDescent="0.4">
      <c r="C657" s="15"/>
    </row>
    <row r="658" spans="3:3" ht="15.75" customHeight="1" x14ac:dyDescent="0.4">
      <c r="C658" s="15"/>
    </row>
    <row r="659" spans="3:3" ht="15.75" customHeight="1" x14ac:dyDescent="0.4">
      <c r="C659" s="15"/>
    </row>
    <row r="660" spans="3:3" ht="15.75" customHeight="1" x14ac:dyDescent="0.4">
      <c r="C660" s="15"/>
    </row>
    <row r="661" spans="3:3" ht="15.75" customHeight="1" x14ac:dyDescent="0.4">
      <c r="C661" s="15"/>
    </row>
    <row r="662" spans="3:3" ht="15.75" customHeight="1" x14ac:dyDescent="0.4">
      <c r="C662" s="15"/>
    </row>
    <row r="663" spans="3:3" ht="15.75" customHeight="1" x14ac:dyDescent="0.4">
      <c r="C663" s="15"/>
    </row>
    <row r="664" spans="3:3" ht="15.75" customHeight="1" x14ac:dyDescent="0.4">
      <c r="C664" s="15"/>
    </row>
    <row r="665" spans="3:3" ht="15.75" customHeight="1" x14ac:dyDescent="0.4">
      <c r="C665" s="15"/>
    </row>
    <row r="666" spans="3:3" ht="15.75" customHeight="1" x14ac:dyDescent="0.4">
      <c r="C666" s="15"/>
    </row>
    <row r="667" spans="3:3" ht="15.75" customHeight="1" x14ac:dyDescent="0.4">
      <c r="C667" s="15"/>
    </row>
    <row r="668" spans="3:3" ht="15.75" customHeight="1" x14ac:dyDescent="0.4">
      <c r="C668" s="15"/>
    </row>
    <row r="669" spans="3:3" ht="15.75" customHeight="1" x14ac:dyDescent="0.4">
      <c r="C669" s="15"/>
    </row>
    <row r="670" spans="3:3" ht="15.75" customHeight="1" x14ac:dyDescent="0.4">
      <c r="C670" s="15"/>
    </row>
    <row r="671" spans="3:3" ht="15.75" customHeight="1" x14ac:dyDescent="0.4">
      <c r="C671" s="15"/>
    </row>
    <row r="672" spans="3:3" ht="15.75" customHeight="1" x14ac:dyDescent="0.4">
      <c r="C672" s="15"/>
    </row>
    <row r="673" spans="3:3" ht="15.75" customHeight="1" x14ac:dyDescent="0.4">
      <c r="C673" s="15"/>
    </row>
    <row r="674" spans="3:3" ht="15.75" customHeight="1" x14ac:dyDescent="0.4">
      <c r="C674" s="15"/>
    </row>
    <row r="675" spans="3:3" ht="15.75" customHeight="1" x14ac:dyDescent="0.4">
      <c r="C675" s="15"/>
    </row>
    <row r="676" spans="3:3" ht="15.75" customHeight="1" x14ac:dyDescent="0.4">
      <c r="C676" s="15"/>
    </row>
    <row r="677" spans="3:3" ht="15.75" customHeight="1" x14ac:dyDescent="0.4">
      <c r="C677" s="15"/>
    </row>
    <row r="678" spans="3:3" ht="15.75" customHeight="1" x14ac:dyDescent="0.4">
      <c r="C678" s="15"/>
    </row>
    <row r="679" spans="3:3" ht="15.75" customHeight="1" x14ac:dyDescent="0.4">
      <c r="C679" s="15"/>
    </row>
    <row r="680" spans="3:3" ht="15.75" customHeight="1" x14ac:dyDescent="0.4">
      <c r="C680" s="15"/>
    </row>
    <row r="681" spans="3:3" ht="15.75" customHeight="1" x14ac:dyDescent="0.4">
      <c r="C681" s="15"/>
    </row>
    <row r="682" spans="3:3" ht="15.75" customHeight="1" x14ac:dyDescent="0.4">
      <c r="C682" s="15"/>
    </row>
    <row r="683" spans="3:3" ht="15.75" customHeight="1" x14ac:dyDescent="0.4">
      <c r="C683" s="15"/>
    </row>
    <row r="684" spans="3:3" ht="15.75" customHeight="1" x14ac:dyDescent="0.4">
      <c r="C684" s="15"/>
    </row>
    <row r="685" spans="3:3" ht="15.75" customHeight="1" x14ac:dyDescent="0.4">
      <c r="C685" s="15"/>
    </row>
    <row r="686" spans="3:3" ht="15.75" customHeight="1" x14ac:dyDescent="0.4">
      <c r="C686" s="15"/>
    </row>
    <row r="687" spans="3:3" ht="15.75" customHeight="1" x14ac:dyDescent="0.4">
      <c r="C687" s="15"/>
    </row>
    <row r="688" spans="3:3" ht="15.75" customHeight="1" x14ac:dyDescent="0.4">
      <c r="C688" s="15"/>
    </row>
    <row r="689" spans="3:3" ht="15.75" customHeight="1" x14ac:dyDescent="0.4">
      <c r="C689" s="15"/>
    </row>
  </sheetData>
  <mergeCells count="2">
    <mergeCell ref="B1:F1"/>
    <mergeCell ref="H1:L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2A4B9-7BFD-4369-8735-783155F372EF}">
  <sheetPr codeName="工作表5"/>
  <dimension ref="A1:C13"/>
  <sheetViews>
    <sheetView zoomScaleNormal="100" workbookViewId="0">
      <selection activeCell="C14" sqref="C14"/>
    </sheetView>
  </sheetViews>
  <sheetFormatPr defaultRowHeight="15.75" customHeight="1" x14ac:dyDescent="0.4"/>
  <cols>
    <col min="1" max="1" width="9.140625" style="15" customWidth="1"/>
    <col min="2" max="2" width="4.85546875" style="22" bestFit="1" customWidth="1"/>
    <col min="3" max="3" width="6.140625" style="15" bestFit="1" customWidth="1"/>
    <col min="4" max="16384" width="9.140625" style="15"/>
  </cols>
  <sheetData>
    <row r="1" spans="1:3" s="21" customFormat="1" ht="15.75" customHeight="1" x14ac:dyDescent="0.4">
      <c r="A1" s="21" t="s">
        <v>2</v>
      </c>
      <c r="B1" s="22" t="s">
        <v>41</v>
      </c>
    </row>
    <row r="2" spans="1:3" s="21" customFormat="1" ht="15.75" customHeight="1" x14ac:dyDescent="0.4">
      <c r="A2" s="21" t="s">
        <v>4</v>
      </c>
      <c r="B2" s="22" t="s">
        <v>42</v>
      </c>
    </row>
    <row r="3" spans="1:3" s="21" customFormat="1" ht="15.75" customHeight="1" x14ac:dyDescent="0.4">
      <c r="A3" s="21" t="s">
        <v>6</v>
      </c>
      <c r="B3" s="22" t="s">
        <v>43</v>
      </c>
    </row>
    <row r="4" spans="1:3" s="21" customFormat="1" ht="15.75" customHeight="1" x14ac:dyDescent="0.4">
      <c r="A4" s="21" t="s">
        <v>18</v>
      </c>
      <c r="B4" s="22" t="s">
        <v>44</v>
      </c>
    </row>
    <row r="5" spans="1:3" s="21" customFormat="1" ht="15.75" customHeight="1" x14ac:dyDescent="0.4">
      <c r="A5" s="21" t="s">
        <v>19</v>
      </c>
      <c r="B5" s="22" t="s">
        <v>45</v>
      </c>
    </row>
    <row r="6" spans="1:3" s="21" customFormat="1" ht="15.75" customHeight="1" x14ac:dyDescent="0.4">
      <c r="A6" s="21" t="s">
        <v>30</v>
      </c>
      <c r="B6" s="22" t="s">
        <v>46</v>
      </c>
    </row>
    <row r="7" spans="1:3" ht="15.75" customHeight="1" x14ac:dyDescent="0.4">
      <c r="A7" s="15" t="s">
        <v>16</v>
      </c>
      <c r="B7" s="22" t="s">
        <v>47</v>
      </c>
      <c r="C7" s="15" t="s">
        <v>48</v>
      </c>
    </row>
    <row r="8" spans="1:3" ht="15.75" customHeight="1" x14ac:dyDescent="0.4">
      <c r="A8" s="15" t="s">
        <v>49</v>
      </c>
      <c r="B8" s="22" t="s">
        <v>51</v>
      </c>
      <c r="C8" s="15" t="s">
        <v>52</v>
      </c>
    </row>
    <row r="9" spans="1:3" ht="15.75" customHeight="1" x14ac:dyDescent="0.4">
      <c r="A9" s="15" t="s">
        <v>50</v>
      </c>
      <c r="B9" s="22" t="s">
        <v>53</v>
      </c>
      <c r="C9" s="15" t="s">
        <v>54</v>
      </c>
    </row>
    <row r="10" spans="1:3" ht="15.75" customHeight="1" x14ac:dyDescent="0.4">
      <c r="A10" s="15" t="s">
        <v>55</v>
      </c>
      <c r="B10" s="22" t="s">
        <v>57</v>
      </c>
      <c r="C10" s="15" t="s">
        <v>58</v>
      </c>
    </row>
    <row r="11" spans="1:3" ht="15.75" customHeight="1" x14ac:dyDescent="0.4">
      <c r="A11" s="15" t="s">
        <v>60</v>
      </c>
      <c r="B11" s="22" t="s">
        <v>47</v>
      </c>
      <c r="C11" s="15" t="s">
        <v>61</v>
      </c>
    </row>
    <row r="12" spans="1:3" ht="15.75" customHeight="1" x14ac:dyDescent="0.4">
      <c r="A12" s="15" t="s">
        <v>56</v>
      </c>
      <c r="B12" s="22" t="s">
        <v>41</v>
      </c>
      <c r="C12" s="15" t="s">
        <v>59</v>
      </c>
    </row>
    <row r="13" spans="1:3" ht="15.75" customHeight="1" x14ac:dyDescent="0.4">
      <c r="A13" s="15" t="s">
        <v>62</v>
      </c>
      <c r="B13" s="22" t="s">
        <v>63</v>
      </c>
      <c r="C13" s="15" t="s">
        <v>64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9F25F-B457-41DA-8BAF-19DD69CCF2D3}">
  <dimension ref="A1:E1649"/>
  <sheetViews>
    <sheetView workbookViewId="0">
      <selection activeCell="A1554" sqref="A1554"/>
    </sheetView>
  </sheetViews>
  <sheetFormatPr defaultRowHeight="15" x14ac:dyDescent="0.45"/>
  <cols>
    <col min="1" max="1" width="9.640625" bestFit="1" customWidth="1"/>
    <col min="2" max="2" width="36.78515625" bestFit="1" customWidth="1"/>
    <col min="3" max="3" width="13.0703125" bestFit="1" customWidth="1"/>
    <col min="4" max="4" width="22.2109375" bestFit="1" customWidth="1"/>
    <col min="5" max="5" width="80.5703125" bestFit="1" customWidth="1"/>
  </cols>
  <sheetData>
    <row r="1" spans="1:5" x14ac:dyDescent="0.45">
      <c r="A1" t="s">
        <v>124</v>
      </c>
      <c r="B1" t="s">
        <v>125</v>
      </c>
      <c r="C1" t="s">
        <v>126</v>
      </c>
      <c r="D1" t="s">
        <v>127</v>
      </c>
      <c r="E1" t="s">
        <v>128</v>
      </c>
    </row>
    <row r="2" spans="1:5" x14ac:dyDescent="0.45">
      <c r="A2">
        <v>20130101</v>
      </c>
      <c r="B2" s="65" t="s">
        <v>129</v>
      </c>
      <c r="C2" s="65" t="s">
        <v>130</v>
      </c>
      <c r="D2" s="65" t="s">
        <v>131</v>
      </c>
      <c r="E2" s="65" t="s">
        <v>132</v>
      </c>
    </row>
    <row r="3" spans="1:5" x14ac:dyDescent="0.45">
      <c r="A3">
        <v>20130105</v>
      </c>
      <c r="B3" s="65" t="s">
        <v>133</v>
      </c>
      <c r="C3" s="65" t="s">
        <v>130</v>
      </c>
      <c r="D3" s="65" t="s">
        <v>134</v>
      </c>
      <c r="E3" s="65" t="s">
        <v>133</v>
      </c>
    </row>
    <row r="4" spans="1:5" x14ac:dyDescent="0.45">
      <c r="A4">
        <v>20130106</v>
      </c>
      <c r="B4" s="65" t="s">
        <v>133</v>
      </c>
      <c r="C4" s="65" t="s">
        <v>130</v>
      </c>
      <c r="D4" s="65" t="s">
        <v>134</v>
      </c>
      <c r="E4" s="65" t="s">
        <v>133</v>
      </c>
    </row>
    <row r="5" spans="1:5" x14ac:dyDescent="0.45">
      <c r="A5">
        <v>20130112</v>
      </c>
      <c r="B5" s="65" t="s">
        <v>133</v>
      </c>
      <c r="C5" s="65" t="s">
        <v>130</v>
      </c>
      <c r="D5" s="65" t="s">
        <v>134</v>
      </c>
      <c r="E5" s="65" t="s">
        <v>133</v>
      </c>
    </row>
    <row r="6" spans="1:5" x14ac:dyDescent="0.45">
      <c r="A6">
        <v>20130113</v>
      </c>
      <c r="B6" s="65" t="s">
        <v>133</v>
      </c>
      <c r="C6" s="65" t="s">
        <v>130</v>
      </c>
      <c r="D6" s="65" t="s">
        <v>134</v>
      </c>
      <c r="E6" s="65" t="s">
        <v>133</v>
      </c>
    </row>
    <row r="7" spans="1:5" x14ac:dyDescent="0.45">
      <c r="A7">
        <v>20130119</v>
      </c>
      <c r="B7" s="65" t="s">
        <v>133</v>
      </c>
      <c r="C7" s="65" t="s">
        <v>130</v>
      </c>
      <c r="D7" s="65" t="s">
        <v>134</v>
      </c>
      <c r="E7" s="65" t="s">
        <v>133</v>
      </c>
    </row>
    <row r="8" spans="1:5" x14ac:dyDescent="0.45">
      <c r="A8">
        <v>20130120</v>
      </c>
      <c r="B8" s="65" t="s">
        <v>133</v>
      </c>
      <c r="C8" s="65" t="s">
        <v>130</v>
      </c>
      <c r="D8" s="65" t="s">
        <v>134</v>
      </c>
      <c r="E8" s="65" t="s">
        <v>133</v>
      </c>
    </row>
    <row r="9" spans="1:5" x14ac:dyDescent="0.45">
      <c r="A9">
        <v>20130126</v>
      </c>
      <c r="B9" s="65" t="s">
        <v>133</v>
      </c>
      <c r="C9" s="65" t="s">
        <v>130</v>
      </c>
      <c r="D9" s="65" t="s">
        <v>134</v>
      </c>
      <c r="E9" s="65" t="s">
        <v>133</v>
      </c>
    </row>
    <row r="10" spans="1:5" x14ac:dyDescent="0.45">
      <c r="A10">
        <v>20130127</v>
      </c>
      <c r="B10" s="65" t="s">
        <v>133</v>
      </c>
      <c r="C10" s="65" t="s">
        <v>130</v>
      </c>
      <c r="D10" s="65" t="s">
        <v>134</v>
      </c>
      <c r="E10" s="65" t="s">
        <v>133</v>
      </c>
    </row>
    <row r="11" spans="1:5" x14ac:dyDescent="0.45">
      <c r="A11">
        <v>20130202</v>
      </c>
      <c r="B11" s="65" t="s">
        <v>133</v>
      </c>
      <c r="C11" s="65" t="s">
        <v>130</v>
      </c>
      <c r="D11" s="65" t="s">
        <v>134</v>
      </c>
      <c r="E11" s="65" t="s">
        <v>133</v>
      </c>
    </row>
    <row r="12" spans="1:5" x14ac:dyDescent="0.45">
      <c r="A12">
        <v>20130203</v>
      </c>
      <c r="B12" s="65" t="s">
        <v>133</v>
      </c>
      <c r="C12" s="65" t="s">
        <v>130</v>
      </c>
      <c r="D12" s="65" t="s">
        <v>134</v>
      </c>
      <c r="E12" s="65" t="s">
        <v>133</v>
      </c>
    </row>
    <row r="13" spans="1:5" x14ac:dyDescent="0.45">
      <c r="A13">
        <v>20130209</v>
      </c>
      <c r="B13" s="65" t="s">
        <v>135</v>
      </c>
      <c r="C13" s="65" t="s">
        <v>130</v>
      </c>
      <c r="D13" s="65" t="s">
        <v>131</v>
      </c>
      <c r="E13" s="65" t="s">
        <v>136</v>
      </c>
    </row>
    <row r="14" spans="1:5" x14ac:dyDescent="0.45">
      <c r="A14">
        <v>20130210</v>
      </c>
      <c r="B14" s="65" t="s">
        <v>137</v>
      </c>
      <c r="C14" s="65" t="s">
        <v>130</v>
      </c>
      <c r="D14" s="65" t="s">
        <v>131</v>
      </c>
      <c r="E14" s="65" t="s">
        <v>138</v>
      </c>
    </row>
    <row r="15" spans="1:5" x14ac:dyDescent="0.45">
      <c r="A15">
        <v>20130211</v>
      </c>
      <c r="B15" s="65" t="s">
        <v>137</v>
      </c>
      <c r="C15" s="65" t="s">
        <v>130</v>
      </c>
      <c r="D15" s="65" t="s">
        <v>131</v>
      </c>
      <c r="E15" s="65" t="s">
        <v>138</v>
      </c>
    </row>
    <row r="16" spans="1:5" x14ac:dyDescent="0.45">
      <c r="A16">
        <v>20130212</v>
      </c>
      <c r="B16" s="65" t="s">
        <v>137</v>
      </c>
      <c r="C16" s="65" t="s">
        <v>130</v>
      </c>
      <c r="D16" s="65" t="s">
        <v>131</v>
      </c>
      <c r="E16" s="65" t="s">
        <v>138</v>
      </c>
    </row>
    <row r="17" spans="1:5" x14ac:dyDescent="0.45">
      <c r="A17">
        <v>20130213</v>
      </c>
      <c r="B17" s="65" t="s">
        <v>133</v>
      </c>
      <c r="C17" s="65" t="s">
        <v>130</v>
      </c>
      <c r="D17" s="65" t="s">
        <v>139</v>
      </c>
      <c r="E17" s="65" t="s">
        <v>133</v>
      </c>
    </row>
    <row r="18" spans="1:5" x14ac:dyDescent="0.45">
      <c r="A18">
        <v>20130214</v>
      </c>
      <c r="B18" s="65" t="s">
        <v>133</v>
      </c>
      <c r="C18" s="65" t="s">
        <v>130</v>
      </c>
      <c r="D18" s="65" t="s">
        <v>139</v>
      </c>
      <c r="E18" s="65" t="s">
        <v>133</v>
      </c>
    </row>
    <row r="19" spans="1:5" x14ac:dyDescent="0.45">
      <c r="A19">
        <v>20130215</v>
      </c>
      <c r="B19" s="65" t="s">
        <v>133</v>
      </c>
      <c r="C19" s="65" t="s">
        <v>130</v>
      </c>
      <c r="D19" s="65" t="s">
        <v>140</v>
      </c>
      <c r="E19" s="65" t="s">
        <v>141</v>
      </c>
    </row>
    <row r="20" spans="1:5" x14ac:dyDescent="0.45">
      <c r="A20">
        <v>20130216</v>
      </c>
      <c r="B20" s="65" t="s">
        <v>133</v>
      </c>
      <c r="C20" s="65" t="s">
        <v>130</v>
      </c>
      <c r="D20" s="65" t="s">
        <v>134</v>
      </c>
      <c r="E20" s="65" t="s">
        <v>133</v>
      </c>
    </row>
    <row r="21" spans="1:5" x14ac:dyDescent="0.45">
      <c r="A21">
        <v>20130217</v>
      </c>
      <c r="B21" s="65" t="s">
        <v>133</v>
      </c>
      <c r="C21" s="65" t="s">
        <v>130</v>
      </c>
      <c r="D21" s="65" t="s">
        <v>134</v>
      </c>
      <c r="E21" s="65" t="s">
        <v>133</v>
      </c>
    </row>
    <row r="22" spans="1:5" x14ac:dyDescent="0.45">
      <c r="A22">
        <v>20130223</v>
      </c>
      <c r="B22" s="65" t="s">
        <v>133</v>
      </c>
      <c r="C22" s="65" t="s">
        <v>142</v>
      </c>
      <c r="D22" s="65" t="s">
        <v>143</v>
      </c>
      <c r="E22" s="65" t="s">
        <v>133</v>
      </c>
    </row>
    <row r="23" spans="1:5" x14ac:dyDescent="0.45">
      <c r="A23">
        <v>20130224</v>
      </c>
      <c r="B23" s="65" t="s">
        <v>133</v>
      </c>
      <c r="C23" s="65" t="s">
        <v>130</v>
      </c>
      <c r="D23" s="65" t="s">
        <v>144</v>
      </c>
      <c r="E23" s="65" t="s">
        <v>133</v>
      </c>
    </row>
    <row r="24" spans="1:5" x14ac:dyDescent="0.45">
      <c r="A24">
        <v>20130228</v>
      </c>
      <c r="B24" s="65" t="s">
        <v>145</v>
      </c>
      <c r="C24" s="65" t="s">
        <v>130</v>
      </c>
      <c r="D24" s="65" t="s">
        <v>131</v>
      </c>
      <c r="E24" s="65" t="s">
        <v>132</v>
      </c>
    </row>
    <row r="25" spans="1:5" x14ac:dyDescent="0.45">
      <c r="A25">
        <v>20130302</v>
      </c>
      <c r="B25" s="65" t="s">
        <v>133</v>
      </c>
      <c r="C25" s="65" t="s">
        <v>130</v>
      </c>
      <c r="D25" s="65" t="s">
        <v>134</v>
      </c>
      <c r="E25" s="65" t="s">
        <v>133</v>
      </c>
    </row>
    <row r="26" spans="1:5" x14ac:dyDescent="0.45">
      <c r="A26">
        <v>20130303</v>
      </c>
      <c r="B26" s="65" t="s">
        <v>133</v>
      </c>
      <c r="C26" s="65" t="s">
        <v>130</v>
      </c>
      <c r="D26" s="65" t="s">
        <v>134</v>
      </c>
      <c r="E26" s="65" t="s">
        <v>133</v>
      </c>
    </row>
    <row r="27" spans="1:5" x14ac:dyDescent="0.45">
      <c r="A27">
        <v>20130308</v>
      </c>
      <c r="B27" s="65" t="s">
        <v>146</v>
      </c>
      <c r="C27" s="65" t="s">
        <v>142</v>
      </c>
      <c r="D27" s="65" t="s">
        <v>147</v>
      </c>
      <c r="E27" s="65" t="s">
        <v>148</v>
      </c>
    </row>
    <row r="28" spans="1:5" x14ac:dyDescent="0.45">
      <c r="A28">
        <v>20130309</v>
      </c>
      <c r="B28" s="65" t="s">
        <v>133</v>
      </c>
      <c r="C28" s="65" t="s">
        <v>130</v>
      </c>
      <c r="D28" s="65" t="s">
        <v>134</v>
      </c>
      <c r="E28" s="65" t="s">
        <v>133</v>
      </c>
    </row>
    <row r="29" spans="1:5" x14ac:dyDescent="0.45">
      <c r="A29">
        <v>20130310</v>
      </c>
      <c r="B29" s="65" t="s">
        <v>133</v>
      </c>
      <c r="C29" s="65" t="s">
        <v>130</v>
      </c>
      <c r="D29" s="65" t="s">
        <v>134</v>
      </c>
      <c r="E29" s="65" t="s">
        <v>133</v>
      </c>
    </row>
    <row r="30" spans="1:5" x14ac:dyDescent="0.45">
      <c r="A30">
        <v>20130316</v>
      </c>
      <c r="B30" s="65" t="s">
        <v>133</v>
      </c>
      <c r="C30" s="65" t="s">
        <v>130</v>
      </c>
      <c r="D30" s="65" t="s">
        <v>134</v>
      </c>
      <c r="E30" s="65" t="s">
        <v>133</v>
      </c>
    </row>
    <row r="31" spans="1:5" x14ac:dyDescent="0.45">
      <c r="A31">
        <v>20130317</v>
      </c>
      <c r="B31" s="65" t="s">
        <v>133</v>
      </c>
      <c r="C31" s="65" t="s">
        <v>130</v>
      </c>
      <c r="D31" s="65" t="s">
        <v>134</v>
      </c>
      <c r="E31" s="65" t="s">
        <v>133</v>
      </c>
    </row>
    <row r="32" spans="1:5" x14ac:dyDescent="0.45">
      <c r="A32">
        <v>20130323</v>
      </c>
      <c r="B32" s="65" t="s">
        <v>133</v>
      </c>
      <c r="C32" s="65" t="s">
        <v>130</v>
      </c>
      <c r="D32" s="65" t="s">
        <v>134</v>
      </c>
      <c r="E32" s="65" t="s">
        <v>133</v>
      </c>
    </row>
    <row r="33" spans="1:5" x14ac:dyDescent="0.45">
      <c r="A33">
        <v>20130324</v>
      </c>
      <c r="B33" s="65" t="s">
        <v>133</v>
      </c>
      <c r="C33" s="65" t="s">
        <v>130</v>
      </c>
      <c r="D33" s="65" t="s">
        <v>134</v>
      </c>
      <c r="E33" s="65" t="s">
        <v>133</v>
      </c>
    </row>
    <row r="34" spans="1:5" x14ac:dyDescent="0.45">
      <c r="A34">
        <v>20130329</v>
      </c>
      <c r="B34" s="65" t="s">
        <v>149</v>
      </c>
      <c r="C34" s="65" t="s">
        <v>142</v>
      </c>
      <c r="D34" s="65" t="s">
        <v>147</v>
      </c>
      <c r="E34" s="65" t="s">
        <v>148</v>
      </c>
    </row>
    <row r="35" spans="1:5" x14ac:dyDescent="0.45">
      <c r="A35">
        <v>20130330</v>
      </c>
      <c r="B35" s="65" t="s">
        <v>133</v>
      </c>
      <c r="C35" s="65" t="s">
        <v>130</v>
      </c>
      <c r="D35" s="65" t="s">
        <v>134</v>
      </c>
      <c r="E35" s="65" t="s">
        <v>133</v>
      </c>
    </row>
    <row r="36" spans="1:5" x14ac:dyDescent="0.45">
      <c r="A36">
        <v>20130331</v>
      </c>
      <c r="B36" s="65" t="s">
        <v>133</v>
      </c>
      <c r="C36" s="65" t="s">
        <v>130</v>
      </c>
      <c r="D36" s="65" t="s">
        <v>134</v>
      </c>
      <c r="E36" s="65" t="s">
        <v>133</v>
      </c>
    </row>
    <row r="37" spans="1:5" x14ac:dyDescent="0.45">
      <c r="A37">
        <v>20130404</v>
      </c>
      <c r="B37" s="65" t="s">
        <v>150</v>
      </c>
      <c r="C37" s="65" t="s">
        <v>130</v>
      </c>
      <c r="D37" s="65" t="s">
        <v>131</v>
      </c>
      <c r="E37" s="65" t="s">
        <v>151</v>
      </c>
    </row>
    <row r="38" spans="1:5" x14ac:dyDescent="0.45">
      <c r="A38">
        <v>20130405</v>
      </c>
      <c r="B38" s="65" t="s">
        <v>133</v>
      </c>
      <c r="C38" s="65" t="s">
        <v>130</v>
      </c>
      <c r="D38" s="65" t="s">
        <v>140</v>
      </c>
      <c r="E38" s="65" t="s">
        <v>133</v>
      </c>
    </row>
    <row r="39" spans="1:5" x14ac:dyDescent="0.45">
      <c r="A39">
        <v>20130406</v>
      </c>
      <c r="B39" s="65" t="s">
        <v>133</v>
      </c>
      <c r="C39" s="65" t="s">
        <v>130</v>
      </c>
      <c r="D39" s="65" t="s">
        <v>134</v>
      </c>
      <c r="E39" s="65" t="s">
        <v>133</v>
      </c>
    </row>
    <row r="40" spans="1:5" x14ac:dyDescent="0.45">
      <c r="A40">
        <v>20130407</v>
      </c>
      <c r="B40" s="65" t="s">
        <v>133</v>
      </c>
      <c r="C40" s="65" t="s">
        <v>130</v>
      </c>
      <c r="D40" s="65" t="s">
        <v>134</v>
      </c>
      <c r="E40" s="65" t="s">
        <v>133</v>
      </c>
    </row>
    <row r="41" spans="1:5" x14ac:dyDescent="0.45">
      <c r="A41">
        <v>20130413</v>
      </c>
      <c r="B41" s="65" t="s">
        <v>133</v>
      </c>
      <c r="C41" s="65" t="s">
        <v>130</v>
      </c>
      <c r="D41" s="65" t="s">
        <v>134</v>
      </c>
      <c r="E41" s="65" t="s">
        <v>133</v>
      </c>
    </row>
    <row r="42" spans="1:5" x14ac:dyDescent="0.45">
      <c r="A42">
        <v>20130414</v>
      </c>
      <c r="B42" s="65" t="s">
        <v>133</v>
      </c>
      <c r="C42" s="65" t="s">
        <v>130</v>
      </c>
      <c r="D42" s="65" t="s">
        <v>134</v>
      </c>
      <c r="E42" s="65" t="s">
        <v>133</v>
      </c>
    </row>
    <row r="43" spans="1:5" x14ac:dyDescent="0.45">
      <c r="A43">
        <v>20130420</v>
      </c>
      <c r="B43" s="65" t="s">
        <v>133</v>
      </c>
      <c r="C43" s="65" t="s">
        <v>130</v>
      </c>
      <c r="D43" s="65" t="s">
        <v>134</v>
      </c>
      <c r="E43" s="65" t="s">
        <v>133</v>
      </c>
    </row>
    <row r="44" spans="1:5" x14ac:dyDescent="0.45">
      <c r="A44">
        <v>20130421</v>
      </c>
      <c r="B44" s="65" t="s">
        <v>133</v>
      </c>
      <c r="C44" s="65" t="s">
        <v>130</v>
      </c>
      <c r="D44" s="65" t="s">
        <v>134</v>
      </c>
      <c r="E44" s="65" t="s">
        <v>133</v>
      </c>
    </row>
    <row r="45" spans="1:5" x14ac:dyDescent="0.45">
      <c r="A45">
        <v>20130427</v>
      </c>
      <c r="B45" s="65" t="s">
        <v>133</v>
      </c>
      <c r="C45" s="65" t="s">
        <v>130</v>
      </c>
      <c r="D45" s="65" t="s">
        <v>134</v>
      </c>
      <c r="E45" s="65" t="s">
        <v>133</v>
      </c>
    </row>
    <row r="46" spans="1:5" x14ac:dyDescent="0.45">
      <c r="A46">
        <v>20130428</v>
      </c>
      <c r="B46" s="65" t="s">
        <v>133</v>
      </c>
      <c r="C46" s="65" t="s">
        <v>130</v>
      </c>
      <c r="D46" s="65" t="s">
        <v>134</v>
      </c>
      <c r="E46" s="65" t="s">
        <v>133</v>
      </c>
    </row>
    <row r="47" spans="1:5" x14ac:dyDescent="0.45">
      <c r="A47">
        <v>20130504</v>
      </c>
      <c r="B47" s="65" t="s">
        <v>133</v>
      </c>
      <c r="C47" s="65" t="s">
        <v>130</v>
      </c>
      <c r="D47" s="65" t="s">
        <v>134</v>
      </c>
      <c r="E47" s="65" t="s">
        <v>133</v>
      </c>
    </row>
    <row r="48" spans="1:5" x14ac:dyDescent="0.45">
      <c r="A48">
        <v>20130505</v>
      </c>
      <c r="B48" s="65" t="s">
        <v>133</v>
      </c>
      <c r="C48" s="65" t="s">
        <v>130</v>
      </c>
      <c r="D48" s="65" t="s">
        <v>134</v>
      </c>
      <c r="E48" s="65" t="s">
        <v>133</v>
      </c>
    </row>
    <row r="49" spans="1:5" x14ac:dyDescent="0.45">
      <c r="A49">
        <v>20130511</v>
      </c>
      <c r="B49" s="65" t="s">
        <v>133</v>
      </c>
      <c r="C49" s="65" t="s">
        <v>130</v>
      </c>
      <c r="D49" s="65" t="s">
        <v>134</v>
      </c>
      <c r="E49" s="65" t="s">
        <v>133</v>
      </c>
    </row>
    <row r="50" spans="1:5" x14ac:dyDescent="0.45">
      <c r="A50">
        <v>20130512</v>
      </c>
      <c r="B50" s="65" t="s">
        <v>133</v>
      </c>
      <c r="C50" s="65" t="s">
        <v>130</v>
      </c>
      <c r="D50" s="65" t="s">
        <v>134</v>
      </c>
      <c r="E50" s="65" t="s">
        <v>133</v>
      </c>
    </row>
    <row r="51" spans="1:5" x14ac:dyDescent="0.45">
      <c r="A51">
        <v>20130518</v>
      </c>
      <c r="B51" s="65" t="s">
        <v>133</v>
      </c>
      <c r="C51" s="65" t="s">
        <v>130</v>
      </c>
      <c r="D51" s="65" t="s">
        <v>134</v>
      </c>
      <c r="E51" s="65" t="s">
        <v>133</v>
      </c>
    </row>
    <row r="52" spans="1:5" x14ac:dyDescent="0.45">
      <c r="A52">
        <v>20130519</v>
      </c>
      <c r="B52" s="65" t="s">
        <v>133</v>
      </c>
      <c r="C52" s="65" t="s">
        <v>130</v>
      </c>
      <c r="D52" s="65" t="s">
        <v>134</v>
      </c>
      <c r="E52" s="65" t="s">
        <v>133</v>
      </c>
    </row>
    <row r="53" spans="1:5" x14ac:dyDescent="0.45">
      <c r="A53">
        <v>20130525</v>
      </c>
      <c r="B53" s="65" t="s">
        <v>133</v>
      </c>
      <c r="C53" s="65" t="s">
        <v>130</v>
      </c>
      <c r="D53" s="65" t="s">
        <v>134</v>
      </c>
      <c r="E53" s="65" t="s">
        <v>133</v>
      </c>
    </row>
    <row r="54" spans="1:5" x14ac:dyDescent="0.45">
      <c r="A54">
        <v>20130526</v>
      </c>
      <c r="B54" s="65" t="s">
        <v>133</v>
      </c>
      <c r="C54" s="65" t="s">
        <v>130</v>
      </c>
      <c r="D54" s="65" t="s">
        <v>134</v>
      </c>
      <c r="E54" s="65" t="s">
        <v>133</v>
      </c>
    </row>
    <row r="55" spans="1:5" x14ac:dyDescent="0.45">
      <c r="A55">
        <v>20130601</v>
      </c>
      <c r="B55" s="65" t="s">
        <v>133</v>
      </c>
      <c r="C55" s="65" t="s">
        <v>130</v>
      </c>
      <c r="D55" s="65" t="s">
        <v>134</v>
      </c>
      <c r="E55" s="65" t="s">
        <v>133</v>
      </c>
    </row>
    <row r="56" spans="1:5" x14ac:dyDescent="0.45">
      <c r="A56">
        <v>20130602</v>
      </c>
      <c r="B56" s="65" t="s">
        <v>133</v>
      </c>
      <c r="C56" s="65" t="s">
        <v>130</v>
      </c>
      <c r="D56" s="65" t="s">
        <v>134</v>
      </c>
      <c r="E56" s="65" t="s">
        <v>133</v>
      </c>
    </row>
    <row r="57" spans="1:5" x14ac:dyDescent="0.45">
      <c r="A57">
        <v>20130608</v>
      </c>
      <c r="B57" s="65" t="s">
        <v>133</v>
      </c>
      <c r="C57" s="65" t="s">
        <v>130</v>
      </c>
      <c r="D57" s="65" t="s">
        <v>134</v>
      </c>
      <c r="E57" s="65" t="s">
        <v>133</v>
      </c>
    </row>
    <row r="58" spans="1:5" x14ac:dyDescent="0.45">
      <c r="A58">
        <v>20130609</v>
      </c>
      <c r="B58" s="65" t="s">
        <v>133</v>
      </c>
      <c r="C58" s="65" t="s">
        <v>130</v>
      </c>
      <c r="D58" s="65" t="s">
        <v>134</v>
      </c>
      <c r="E58" s="65" t="s">
        <v>133</v>
      </c>
    </row>
    <row r="59" spans="1:5" x14ac:dyDescent="0.45">
      <c r="A59">
        <v>20130612</v>
      </c>
      <c r="B59" s="65" t="s">
        <v>153</v>
      </c>
      <c r="C59" s="65" t="s">
        <v>130</v>
      </c>
      <c r="D59" s="65" t="s">
        <v>131</v>
      </c>
      <c r="E59" s="65" t="s">
        <v>132</v>
      </c>
    </row>
    <row r="60" spans="1:5" x14ac:dyDescent="0.45">
      <c r="A60">
        <v>20130615</v>
      </c>
      <c r="B60" s="65" t="s">
        <v>133</v>
      </c>
      <c r="C60" s="65" t="s">
        <v>130</v>
      </c>
      <c r="D60" s="65" t="s">
        <v>134</v>
      </c>
      <c r="E60" s="65" t="s">
        <v>133</v>
      </c>
    </row>
    <row r="61" spans="1:5" x14ac:dyDescent="0.45">
      <c r="A61">
        <v>20130616</v>
      </c>
      <c r="B61" s="65" t="s">
        <v>133</v>
      </c>
      <c r="C61" s="65" t="s">
        <v>130</v>
      </c>
      <c r="D61" s="65" t="s">
        <v>134</v>
      </c>
      <c r="E61" s="65" t="s">
        <v>133</v>
      </c>
    </row>
    <row r="62" spans="1:5" x14ac:dyDescent="0.45">
      <c r="A62">
        <v>20130622</v>
      </c>
      <c r="B62" s="65" t="s">
        <v>133</v>
      </c>
      <c r="C62" s="65" t="s">
        <v>130</v>
      </c>
      <c r="D62" s="65" t="s">
        <v>134</v>
      </c>
      <c r="E62" s="65" t="s">
        <v>133</v>
      </c>
    </row>
    <row r="63" spans="1:5" x14ac:dyDescent="0.45">
      <c r="A63">
        <v>20130623</v>
      </c>
      <c r="B63" s="65" t="s">
        <v>133</v>
      </c>
      <c r="C63" s="65" t="s">
        <v>130</v>
      </c>
      <c r="D63" s="65" t="s">
        <v>134</v>
      </c>
      <c r="E63" s="65" t="s">
        <v>133</v>
      </c>
    </row>
    <row r="64" spans="1:5" x14ac:dyDescent="0.45">
      <c r="A64">
        <v>20130629</v>
      </c>
      <c r="B64" s="65" t="s">
        <v>133</v>
      </c>
      <c r="C64" s="65" t="s">
        <v>130</v>
      </c>
      <c r="D64" s="65" t="s">
        <v>134</v>
      </c>
      <c r="E64" s="65" t="s">
        <v>133</v>
      </c>
    </row>
    <row r="65" spans="1:5" x14ac:dyDescent="0.45">
      <c r="A65">
        <v>20130630</v>
      </c>
      <c r="B65" s="65" t="s">
        <v>133</v>
      </c>
      <c r="C65" s="65" t="s">
        <v>130</v>
      </c>
      <c r="D65" s="65" t="s">
        <v>134</v>
      </c>
      <c r="E65" s="65" t="s">
        <v>133</v>
      </c>
    </row>
    <row r="66" spans="1:5" x14ac:dyDescent="0.45">
      <c r="A66">
        <v>20130706</v>
      </c>
      <c r="B66" s="65" t="s">
        <v>133</v>
      </c>
      <c r="C66" s="65" t="s">
        <v>130</v>
      </c>
      <c r="D66" s="65" t="s">
        <v>134</v>
      </c>
      <c r="E66" s="65" t="s">
        <v>133</v>
      </c>
    </row>
    <row r="67" spans="1:5" x14ac:dyDescent="0.45">
      <c r="A67">
        <v>20130707</v>
      </c>
      <c r="B67" s="65" t="s">
        <v>133</v>
      </c>
      <c r="C67" s="65" t="s">
        <v>130</v>
      </c>
      <c r="D67" s="65" t="s">
        <v>134</v>
      </c>
      <c r="E67" s="65" t="s">
        <v>133</v>
      </c>
    </row>
    <row r="68" spans="1:5" x14ac:dyDescent="0.45">
      <c r="A68">
        <v>20130713</v>
      </c>
      <c r="B68" s="65" t="s">
        <v>133</v>
      </c>
      <c r="C68" s="65" t="s">
        <v>130</v>
      </c>
      <c r="D68" s="65" t="s">
        <v>134</v>
      </c>
      <c r="E68" s="65" t="s">
        <v>133</v>
      </c>
    </row>
    <row r="69" spans="1:5" x14ac:dyDescent="0.45">
      <c r="A69">
        <v>20130714</v>
      </c>
      <c r="B69" s="65" t="s">
        <v>133</v>
      </c>
      <c r="C69" s="65" t="s">
        <v>130</v>
      </c>
      <c r="D69" s="65" t="s">
        <v>134</v>
      </c>
      <c r="E69" s="65" t="s">
        <v>133</v>
      </c>
    </row>
    <row r="70" spans="1:5" x14ac:dyDescent="0.45">
      <c r="A70">
        <v>20130720</v>
      </c>
      <c r="B70" s="65" t="s">
        <v>133</v>
      </c>
      <c r="C70" s="65" t="s">
        <v>130</v>
      </c>
      <c r="D70" s="65" t="s">
        <v>134</v>
      </c>
      <c r="E70" s="65" t="s">
        <v>133</v>
      </c>
    </row>
    <row r="71" spans="1:5" x14ac:dyDescent="0.45">
      <c r="A71">
        <v>20130721</v>
      </c>
      <c r="B71" s="65" t="s">
        <v>133</v>
      </c>
      <c r="C71" s="65" t="s">
        <v>130</v>
      </c>
      <c r="D71" s="65" t="s">
        <v>134</v>
      </c>
      <c r="E71" s="65" t="s">
        <v>133</v>
      </c>
    </row>
    <row r="72" spans="1:5" x14ac:dyDescent="0.45">
      <c r="A72">
        <v>20130727</v>
      </c>
      <c r="B72" s="65" t="s">
        <v>133</v>
      </c>
      <c r="C72" s="65" t="s">
        <v>130</v>
      </c>
      <c r="D72" s="65" t="s">
        <v>134</v>
      </c>
      <c r="E72" s="65" t="s">
        <v>133</v>
      </c>
    </row>
    <row r="73" spans="1:5" x14ac:dyDescent="0.45">
      <c r="A73">
        <v>20130728</v>
      </c>
      <c r="B73" s="65" t="s">
        <v>133</v>
      </c>
      <c r="C73" s="65" t="s">
        <v>130</v>
      </c>
      <c r="D73" s="65" t="s">
        <v>134</v>
      </c>
      <c r="E73" s="65" t="s">
        <v>133</v>
      </c>
    </row>
    <row r="74" spans="1:5" x14ac:dyDescent="0.45">
      <c r="A74">
        <v>20130803</v>
      </c>
      <c r="B74" s="65" t="s">
        <v>133</v>
      </c>
      <c r="C74" s="65" t="s">
        <v>130</v>
      </c>
      <c r="D74" s="65" t="s">
        <v>134</v>
      </c>
      <c r="E74" s="65" t="s">
        <v>133</v>
      </c>
    </row>
    <row r="75" spans="1:5" x14ac:dyDescent="0.45">
      <c r="A75">
        <v>20130804</v>
      </c>
      <c r="B75" s="65" t="s">
        <v>133</v>
      </c>
      <c r="C75" s="65" t="s">
        <v>130</v>
      </c>
      <c r="D75" s="65" t="s">
        <v>134</v>
      </c>
      <c r="E75" s="65" t="s">
        <v>133</v>
      </c>
    </row>
    <row r="76" spans="1:5" x14ac:dyDescent="0.45">
      <c r="A76">
        <v>20130810</v>
      </c>
      <c r="B76" s="65" t="s">
        <v>133</v>
      </c>
      <c r="C76" s="65" t="s">
        <v>130</v>
      </c>
      <c r="D76" s="65" t="s">
        <v>134</v>
      </c>
      <c r="E76" s="65" t="s">
        <v>133</v>
      </c>
    </row>
    <row r="77" spans="1:5" x14ac:dyDescent="0.45">
      <c r="A77">
        <v>20130811</v>
      </c>
      <c r="B77" s="65" t="s">
        <v>133</v>
      </c>
      <c r="C77" s="65" t="s">
        <v>130</v>
      </c>
      <c r="D77" s="65" t="s">
        <v>134</v>
      </c>
      <c r="E77" s="65" t="s">
        <v>133</v>
      </c>
    </row>
    <row r="78" spans="1:5" x14ac:dyDescent="0.45">
      <c r="A78">
        <v>20130817</v>
      </c>
      <c r="B78" s="65" t="s">
        <v>133</v>
      </c>
      <c r="C78" s="65" t="s">
        <v>130</v>
      </c>
      <c r="D78" s="65" t="s">
        <v>134</v>
      </c>
      <c r="E78" s="65" t="s">
        <v>133</v>
      </c>
    </row>
    <row r="79" spans="1:5" x14ac:dyDescent="0.45">
      <c r="A79">
        <v>20130818</v>
      </c>
      <c r="B79" s="65" t="s">
        <v>133</v>
      </c>
      <c r="C79" s="65" t="s">
        <v>130</v>
      </c>
      <c r="D79" s="65" t="s">
        <v>134</v>
      </c>
      <c r="E79" s="65" t="s">
        <v>133</v>
      </c>
    </row>
    <row r="80" spans="1:5" x14ac:dyDescent="0.45">
      <c r="A80">
        <v>20130824</v>
      </c>
      <c r="B80" s="65" t="s">
        <v>133</v>
      </c>
      <c r="C80" s="65" t="s">
        <v>130</v>
      </c>
      <c r="D80" s="65" t="s">
        <v>134</v>
      </c>
      <c r="E80" s="65" t="s">
        <v>133</v>
      </c>
    </row>
    <row r="81" spans="1:5" x14ac:dyDescent="0.45">
      <c r="A81">
        <v>20130825</v>
      </c>
      <c r="B81" s="65" t="s">
        <v>133</v>
      </c>
      <c r="C81" s="65" t="s">
        <v>130</v>
      </c>
      <c r="D81" s="65" t="s">
        <v>134</v>
      </c>
      <c r="E81" s="65" t="s">
        <v>133</v>
      </c>
    </row>
    <row r="82" spans="1:5" x14ac:dyDescent="0.45">
      <c r="A82">
        <v>20130831</v>
      </c>
      <c r="B82" s="65" t="s">
        <v>133</v>
      </c>
      <c r="C82" s="65" t="s">
        <v>130</v>
      </c>
      <c r="D82" s="65" t="s">
        <v>134</v>
      </c>
      <c r="E82" s="65" t="s">
        <v>133</v>
      </c>
    </row>
    <row r="83" spans="1:5" x14ac:dyDescent="0.45">
      <c r="A83">
        <v>20130901</v>
      </c>
      <c r="B83" s="65" t="s">
        <v>133</v>
      </c>
      <c r="C83" s="65" t="s">
        <v>130</v>
      </c>
      <c r="D83" s="65" t="s">
        <v>134</v>
      </c>
      <c r="E83" s="65" t="s">
        <v>133</v>
      </c>
    </row>
    <row r="84" spans="1:5" x14ac:dyDescent="0.45">
      <c r="A84">
        <v>20130907</v>
      </c>
      <c r="B84" s="65" t="s">
        <v>133</v>
      </c>
      <c r="C84" s="65" t="s">
        <v>130</v>
      </c>
      <c r="D84" s="65" t="s">
        <v>134</v>
      </c>
      <c r="E84" s="65" t="s">
        <v>133</v>
      </c>
    </row>
    <row r="85" spans="1:5" x14ac:dyDescent="0.45">
      <c r="A85">
        <v>20130908</v>
      </c>
      <c r="B85" s="65" t="s">
        <v>133</v>
      </c>
      <c r="C85" s="65" t="s">
        <v>130</v>
      </c>
      <c r="D85" s="65" t="s">
        <v>134</v>
      </c>
      <c r="E85" s="65" t="s">
        <v>133</v>
      </c>
    </row>
    <row r="86" spans="1:5" x14ac:dyDescent="0.45">
      <c r="A86">
        <v>20130914</v>
      </c>
      <c r="B86" s="65" t="s">
        <v>133</v>
      </c>
      <c r="C86" s="65" t="s">
        <v>142</v>
      </c>
      <c r="D86" s="65" t="s">
        <v>143</v>
      </c>
      <c r="E86" s="65" t="s">
        <v>133</v>
      </c>
    </row>
    <row r="87" spans="1:5" x14ac:dyDescent="0.45">
      <c r="A87">
        <v>20130915</v>
      </c>
      <c r="B87" s="65" t="s">
        <v>133</v>
      </c>
      <c r="C87" s="65" t="s">
        <v>130</v>
      </c>
      <c r="D87" s="65" t="s">
        <v>144</v>
      </c>
      <c r="E87" s="65" t="s">
        <v>133</v>
      </c>
    </row>
    <row r="88" spans="1:5" x14ac:dyDescent="0.45">
      <c r="A88">
        <v>20130919</v>
      </c>
      <c r="B88" s="65" t="s">
        <v>154</v>
      </c>
      <c r="C88" s="65" t="s">
        <v>130</v>
      </c>
      <c r="D88" s="65" t="s">
        <v>131</v>
      </c>
      <c r="E88" s="65" t="s">
        <v>132</v>
      </c>
    </row>
    <row r="89" spans="1:5" x14ac:dyDescent="0.45">
      <c r="A89">
        <v>20130920</v>
      </c>
      <c r="B89" s="65" t="s">
        <v>133</v>
      </c>
      <c r="C89" s="65" t="s">
        <v>130</v>
      </c>
      <c r="D89" s="65" t="s">
        <v>140</v>
      </c>
      <c r="E89" s="65" t="s">
        <v>155</v>
      </c>
    </row>
    <row r="90" spans="1:5" x14ac:dyDescent="0.45">
      <c r="A90">
        <v>20130921</v>
      </c>
      <c r="B90" s="65" t="s">
        <v>133</v>
      </c>
      <c r="C90" s="65" t="s">
        <v>130</v>
      </c>
      <c r="D90" s="65" t="s">
        <v>134</v>
      </c>
      <c r="E90" s="65" t="s">
        <v>133</v>
      </c>
    </row>
    <row r="91" spans="1:5" x14ac:dyDescent="0.45">
      <c r="A91">
        <v>20130922</v>
      </c>
      <c r="B91" s="65" t="s">
        <v>133</v>
      </c>
      <c r="C91" s="65" t="s">
        <v>130</v>
      </c>
      <c r="D91" s="65" t="s">
        <v>134</v>
      </c>
      <c r="E91" s="65" t="s">
        <v>133</v>
      </c>
    </row>
    <row r="92" spans="1:5" x14ac:dyDescent="0.45">
      <c r="A92">
        <v>20130928</v>
      </c>
      <c r="B92" s="65" t="s">
        <v>156</v>
      </c>
      <c r="C92" s="65" t="s">
        <v>130</v>
      </c>
      <c r="D92" s="65" t="s">
        <v>147</v>
      </c>
      <c r="E92" s="65" t="s">
        <v>157</v>
      </c>
    </row>
    <row r="93" spans="1:5" x14ac:dyDescent="0.45">
      <c r="A93">
        <v>20130929</v>
      </c>
      <c r="B93" s="65" t="s">
        <v>133</v>
      </c>
      <c r="C93" s="65" t="s">
        <v>130</v>
      </c>
      <c r="D93" s="65" t="s">
        <v>134</v>
      </c>
      <c r="E93" s="65" t="s">
        <v>133</v>
      </c>
    </row>
    <row r="94" spans="1:5" x14ac:dyDescent="0.45">
      <c r="A94">
        <v>20131005</v>
      </c>
      <c r="B94" s="65" t="s">
        <v>133</v>
      </c>
      <c r="C94" s="65" t="s">
        <v>130</v>
      </c>
      <c r="D94" s="65" t="s">
        <v>134</v>
      </c>
      <c r="E94" s="65" t="s">
        <v>133</v>
      </c>
    </row>
    <row r="95" spans="1:5" x14ac:dyDescent="0.45">
      <c r="A95">
        <v>20131006</v>
      </c>
      <c r="B95" s="65" t="s">
        <v>133</v>
      </c>
      <c r="C95" s="65" t="s">
        <v>130</v>
      </c>
      <c r="D95" s="65" t="s">
        <v>134</v>
      </c>
      <c r="E95" s="65" t="s">
        <v>133</v>
      </c>
    </row>
    <row r="96" spans="1:5" x14ac:dyDescent="0.45">
      <c r="A96">
        <v>20131010</v>
      </c>
      <c r="B96" s="65" t="s">
        <v>158</v>
      </c>
      <c r="C96" s="65" t="s">
        <v>130</v>
      </c>
      <c r="D96" s="65" t="s">
        <v>131</v>
      </c>
      <c r="E96" s="65" t="s">
        <v>132</v>
      </c>
    </row>
    <row r="97" spans="1:5" x14ac:dyDescent="0.45">
      <c r="A97">
        <v>20131012</v>
      </c>
      <c r="B97" s="65" t="s">
        <v>133</v>
      </c>
      <c r="C97" s="65" t="s">
        <v>130</v>
      </c>
      <c r="D97" s="65" t="s">
        <v>134</v>
      </c>
      <c r="E97" s="65" t="s">
        <v>133</v>
      </c>
    </row>
    <row r="98" spans="1:5" x14ac:dyDescent="0.45">
      <c r="A98">
        <v>20131013</v>
      </c>
      <c r="B98" s="65" t="s">
        <v>133</v>
      </c>
      <c r="C98" s="65" t="s">
        <v>130</v>
      </c>
      <c r="D98" s="65" t="s">
        <v>134</v>
      </c>
      <c r="E98" s="65" t="s">
        <v>133</v>
      </c>
    </row>
    <row r="99" spans="1:5" x14ac:dyDescent="0.45">
      <c r="A99">
        <v>20131019</v>
      </c>
      <c r="B99" s="65" t="s">
        <v>133</v>
      </c>
      <c r="C99" s="65" t="s">
        <v>130</v>
      </c>
      <c r="D99" s="65" t="s">
        <v>134</v>
      </c>
      <c r="E99" s="65" t="s">
        <v>133</v>
      </c>
    </row>
    <row r="100" spans="1:5" x14ac:dyDescent="0.45">
      <c r="A100">
        <v>20131020</v>
      </c>
      <c r="B100" s="65" t="s">
        <v>133</v>
      </c>
      <c r="C100" s="65" t="s">
        <v>130</v>
      </c>
      <c r="D100" s="65" t="s">
        <v>134</v>
      </c>
      <c r="E100" s="65" t="s">
        <v>133</v>
      </c>
    </row>
    <row r="101" spans="1:5" x14ac:dyDescent="0.45">
      <c r="A101">
        <v>20131025</v>
      </c>
      <c r="B101" s="65" t="s">
        <v>159</v>
      </c>
      <c r="C101" s="65" t="s">
        <v>142</v>
      </c>
      <c r="D101" s="65" t="s">
        <v>147</v>
      </c>
      <c r="E101" s="65" t="s">
        <v>148</v>
      </c>
    </row>
    <row r="102" spans="1:5" x14ac:dyDescent="0.45">
      <c r="A102">
        <v>20131026</v>
      </c>
      <c r="B102" s="65" t="s">
        <v>133</v>
      </c>
      <c r="C102" s="65" t="s">
        <v>130</v>
      </c>
      <c r="D102" s="65" t="s">
        <v>134</v>
      </c>
      <c r="E102" s="65" t="s">
        <v>133</v>
      </c>
    </row>
    <row r="103" spans="1:5" x14ac:dyDescent="0.45">
      <c r="A103">
        <v>20131027</v>
      </c>
      <c r="B103" s="65" t="s">
        <v>133</v>
      </c>
      <c r="C103" s="65" t="s">
        <v>130</v>
      </c>
      <c r="D103" s="65" t="s">
        <v>134</v>
      </c>
      <c r="E103" s="65" t="s">
        <v>133</v>
      </c>
    </row>
    <row r="104" spans="1:5" x14ac:dyDescent="0.45">
      <c r="A104">
        <v>20131102</v>
      </c>
      <c r="B104" s="65" t="s">
        <v>133</v>
      </c>
      <c r="C104" s="65" t="s">
        <v>130</v>
      </c>
      <c r="D104" s="65" t="s">
        <v>134</v>
      </c>
      <c r="E104" s="65" t="s">
        <v>133</v>
      </c>
    </row>
    <row r="105" spans="1:5" x14ac:dyDescent="0.45">
      <c r="A105">
        <v>20131103</v>
      </c>
      <c r="B105" s="65" t="s">
        <v>133</v>
      </c>
      <c r="C105" s="65" t="s">
        <v>130</v>
      </c>
      <c r="D105" s="65" t="s">
        <v>134</v>
      </c>
      <c r="E105" s="65" t="s">
        <v>133</v>
      </c>
    </row>
    <row r="106" spans="1:5" x14ac:dyDescent="0.45">
      <c r="A106">
        <v>20131109</v>
      </c>
      <c r="B106" s="65" t="s">
        <v>133</v>
      </c>
      <c r="C106" s="65" t="s">
        <v>130</v>
      </c>
      <c r="D106" s="65" t="s">
        <v>134</v>
      </c>
      <c r="E106" s="65" t="s">
        <v>133</v>
      </c>
    </row>
    <row r="107" spans="1:5" x14ac:dyDescent="0.45">
      <c r="A107">
        <v>20131110</v>
      </c>
      <c r="B107" s="65" t="s">
        <v>133</v>
      </c>
      <c r="C107" s="65" t="s">
        <v>130</v>
      </c>
      <c r="D107" s="65" t="s">
        <v>134</v>
      </c>
      <c r="E107" s="65" t="s">
        <v>133</v>
      </c>
    </row>
    <row r="108" spans="1:5" x14ac:dyDescent="0.45">
      <c r="A108">
        <v>20131112</v>
      </c>
      <c r="B108" s="65" t="s">
        <v>160</v>
      </c>
      <c r="C108" s="65" t="s">
        <v>142</v>
      </c>
      <c r="D108" s="65" t="s">
        <v>147</v>
      </c>
      <c r="E108" s="65" t="s">
        <v>148</v>
      </c>
    </row>
    <row r="109" spans="1:5" x14ac:dyDescent="0.45">
      <c r="A109">
        <v>20131116</v>
      </c>
      <c r="B109" s="65" t="s">
        <v>133</v>
      </c>
      <c r="C109" s="65" t="s">
        <v>130</v>
      </c>
      <c r="D109" s="65" t="s">
        <v>134</v>
      </c>
      <c r="E109" s="65" t="s">
        <v>133</v>
      </c>
    </row>
    <row r="110" spans="1:5" x14ac:dyDescent="0.45">
      <c r="A110">
        <v>20131117</v>
      </c>
      <c r="B110" s="65" t="s">
        <v>133</v>
      </c>
      <c r="C110" s="65" t="s">
        <v>130</v>
      </c>
      <c r="D110" s="65" t="s">
        <v>134</v>
      </c>
      <c r="E110" s="65" t="s">
        <v>133</v>
      </c>
    </row>
    <row r="111" spans="1:5" x14ac:dyDescent="0.45">
      <c r="A111">
        <v>20131123</v>
      </c>
      <c r="B111" s="65" t="s">
        <v>133</v>
      </c>
      <c r="C111" s="65" t="s">
        <v>130</v>
      </c>
      <c r="D111" s="65" t="s">
        <v>134</v>
      </c>
      <c r="E111" s="65" t="s">
        <v>133</v>
      </c>
    </row>
    <row r="112" spans="1:5" x14ac:dyDescent="0.45">
      <c r="A112">
        <v>20131124</v>
      </c>
      <c r="B112" s="65" t="s">
        <v>133</v>
      </c>
      <c r="C112" s="65" t="s">
        <v>130</v>
      </c>
      <c r="D112" s="65" t="s">
        <v>134</v>
      </c>
      <c r="E112" s="65" t="s">
        <v>133</v>
      </c>
    </row>
    <row r="113" spans="1:5" x14ac:dyDescent="0.45">
      <c r="A113">
        <v>20131130</v>
      </c>
      <c r="B113" s="65" t="s">
        <v>133</v>
      </c>
      <c r="C113" s="65" t="s">
        <v>130</v>
      </c>
      <c r="D113" s="65" t="s">
        <v>134</v>
      </c>
      <c r="E113" s="65" t="s">
        <v>133</v>
      </c>
    </row>
    <row r="114" spans="1:5" x14ac:dyDescent="0.45">
      <c r="A114">
        <v>20131201</v>
      </c>
      <c r="B114" s="65" t="s">
        <v>133</v>
      </c>
      <c r="C114" s="65" t="s">
        <v>130</v>
      </c>
      <c r="D114" s="65" t="s">
        <v>134</v>
      </c>
      <c r="E114" s="65" t="s">
        <v>133</v>
      </c>
    </row>
    <row r="115" spans="1:5" x14ac:dyDescent="0.45">
      <c r="A115">
        <v>20131207</v>
      </c>
      <c r="B115" s="65" t="s">
        <v>133</v>
      </c>
      <c r="C115" s="65" t="s">
        <v>130</v>
      </c>
      <c r="D115" s="65" t="s">
        <v>134</v>
      </c>
      <c r="E115" s="65" t="s">
        <v>133</v>
      </c>
    </row>
    <row r="116" spans="1:5" x14ac:dyDescent="0.45">
      <c r="A116">
        <v>20131208</v>
      </c>
      <c r="B116" s="65" t="s">
        <v>133</v>
      </c>
      <c r="C116" s="65" t="s">
        <v>130</v>
      </c>
      <c r="D116" s="65" t="s">
        <v>134</v>
      </c>
      <c r="E116" s="65" t="s">
        <v>133</v>
      </c>
    </row>
    <row r="117" spans="1:5" x14ac:dyDescent="0.45">
      <c r="A117">
        <v>20131214</v>
      </c>
      <c r="B117" s="65" t="s">
        <v>133</v>
      </c>
      <c r="C117" s="65" t="s">
        <v>130</v>
      </c>
      <c r="D117" s="65" t="s">
        <v>134</v>
      </c>
      <c r="E117" s="65" t="s">
        <v>133</v>
      </c>
    </row>
    <row r="118" spans="1:5" x14ac:dyDescent="0.45">
      <c r="A118">
        <v>20131215</v>
      </c>
      <c r="B118" s="65" t="s">
        <v>133</v>
      </c>
      <c r="C118" s="65" t="s">
        <v>130</v>
      </c>
      <c r="D118" s="65" t="s">
        <v>134</v>
      </c>
      <c r="E118" s="65" t="s">
        <v>133</v>
      </c>
    </row>
    <row r="119" spans="1:5" x14ac:dyDescent="0.45">
      <c r="A119">
        <v>20131221</v>
      </c>
      <c r="B119" s="65" t="s">
        <v>133</v>
      </c>
      <c r="C119" s="65" t="s">
        <v>130</v>
      </c>
      <c r="D119" s="65" t="s">
        <v>134</v>
      </c>
      <c r="E119" s="65" t="s">
        <v>133</v>
      </c>
    </row>
    <row r="120" spans="1:5" x14ac:dyDescent="0.45">
      <c r="A120">
        <v>20131222</v>
      </c>
      <c r="B120" s="65" t="s">
        <v>133</v>
      </c>
      <c r="C120" s="65" t="s">
        <v>130</v>
      </c>
      <c r="D120" s="65" t="s">
        <v>134</v>
      </c>
      <c r="E120" s="65" t="s">
        <v>133</v>
      </c>
    </row>
    <row r="121" spans="1:5" x14ac:dyDescent="0.45">
      <c r="A121">
        <v>20131225</v>
      </c>
      <c r="B121" s="65" t="s">
        <v>161</v>
      </c>
      <c r="C121" s="65" t="s">
        <v>142</v>
      </c>
      <c r="D121" s="65" t="s">
        <v>147</v>
      </c>
      <c r="E121" s="65" t="s">
        <v>148</v>
      </c>
    </row>
    <row r="122" spans="1:5" x14ac:dyDescent="0.45">
      <c r="A122">
        <v>20131228</v>
      </c>
      <c r="B122" s="65" t="s">
        <v>133</v>
      </c>
      <c r="C122" s="65" t="s">
        <v>130</v>
      </c>
      <c r="D122" s="65" t="s">
        <v>134</v>
      </c>
      <c r="E122" s="65" t="s">
        <v>133</v>
      </c>
    </row>
    <row r="123" spans="1:5" x14ac:dyDescent="0.45">
      <c r="A123">
        <v>20131229</v>
      </c>
      <c r="B123" s="65" t="s">
        <v>133</v>
      </c>
      <c r="C123" s="65" t="s">
        <v>130</v>
      </c>
      <c r="D123" s="65" t="s">
        <v>134</v>
      </c>
      <c r="E123" s="65" t="s">
        <v>133</v>
      </c>
    </row>
    <row r="124" spans="1:5" x14ac:dyDescent="0.45">
      <c r="A124">
        <v>20140101</v>
      </c>
      <c r="B124" s="65" t="s">
        <v>129</v>
      </c>
      <c r="C124" s="65" t="s">
        <v>130</v>
      </c>
      <c r="D124" s="65" t="s">
        <v>131</v>
      </c>
      <c r="E124" s="65" t="s">
        <v>132</v>
      </c>
    </row>
    <row r="125" spans="1:5" x14ac:dyDescent="0.45">
      <c r="A125">
        <v>20140104</v>
      </c>
      <c r="B125" s="65" t="s">
        <v>133</v>
      </c>
      <c r="C125" s="65" t="s">
        <v>130</v>
      </c>
      <c r="D125" s="65" t="s">
        <v>134</v>
      </c>
      <c r="E125" s="65" t="s">
        <v>133</v>
      </c>
    </row>
    <row r="126" spans="1:5" x14ac:dyDescent="0.45">
      <c r="A126">
        <v>20140105</v>
      </c>
      <c r="B126" s="65" t="s">
        <v>133</v>
      </c>
      <c r="C126" s="65" t="s">
        <v>130</v>
      </c>
      <c r="D126" s="65" t="s">
        <v>134</v>
      </c>
      <c r="E126" s="65" t="s">
        <v>133</v>
      </c>
    </row>
    <row r="127" spans="1:5" x14ac:dyDescent="0.45">
      <c r="A127">
        <v>20140111</v>
      </c>
      <c r="B127" s="65" t="s">
        <v>133</v>
      </c>
      <c r="C127" s="65" t="s">
        <v>130</v>
      </c>
      <c r="D127" s="65" t="s">
        <v>134</v>
      </c>
      <c r="E127" s="65" t="s">
        <v>133</v>
      </c>
    </row>
    <row r="128" spans="1:5" x14ac:dyDescent="0.45">
      <c r="A128">
        <v>20140112</v>
      </c>
      <c r="B128" s="65" t="s">
        <v>133</v>
      </c>
      <c r="C128" s="65" t="s">
        <v>130</v>
      </c>
      <c r="D128" s="65" t="s">
        <v>134</v>
      </c>
      <c r="E128" s="65" t="s">
        <v>133</v>
      </c>
    </row>
    <row r="129" spans="1:5" x14ac:dyDescent="0.45">
      <c r="A129">
        <v>20140118</v>
      </c>
      <c r="B129" s="65" t="s">
        <v>133</v>
      </c>
      <c r="C129" s="65" t="s">
        <v>130</v>
      </c>
      <c r="D129" s="65" t="s">
        <v>134</v>
      </c>
      <c r="E129" s="65" t="s">
        <v>133</v>
      </c>
    </row>
    <row r="130" spans="1:5" x14ac:dyDescent="0.45">
      <c r="A130">
        <v>20140119</v>
      </c>
      <c r="B130" s="65" t="s">
        <v>133</v>
      </c>
      <c r="C130" s="65" t="s">
        <v>130</v>
      </c>
      <c r="D130" s="65" t="s">
        <v>134</v>
      </c>
      <c r="E130" s="65" t="s">
        <v>133</v>
      </c>
    </row>
    <row r="131" spans="1:5" x14ac:dyDescent="0.45">
      <c r="A131">
        <v>20140125</v>
      </c>
      <c r="B131" s="65" t="s">
        <v>133</v>
      </c>
      <c r="C131" s="65" t="s">
        <v>130</v>
      </c>
      <c r="D131" s="65" t="s">
        <v>134</v>
      </c>
      <c r="E131" s="65" t="s">
        <v>133</v>
      </c>
    </row>
    <row r="132" spans="1:5" x14ac:dyDescent="0.45">
      <c r="A132">
        <v>20140126</v>
      </c>
      <c r="B132" s="65" t="s">
        <v>133</v>
      </c>
      <c r="C132" s="65" t="s">
        <v>130</v>
      </c>
      <c r="D132" s="65" t="s">
        <v>134</v>
      </c>
      <c r="E132" s="65" t="s">
        <v>133</v>
      </c>
    </row>
    <row r="133" spans="1:5" x14ac:dyDescent="0.45">
      <c r="A133">
        <v>20140130</v>
      </c>
      <c r="B133" s="65" t="s">
        <v>135</v>
      </c>
      <c r="C133" s="65" t="s">
        <v>130</v>
      </c>
      <c r="D133" s="65" t="s">
        <v>131</v>
      </c>
      <c r="E133" s="65" t="s">
        <v>132</v>
      </c>
    </row>
    <row r="134" spans="1:5" x14ac:dyDescent="0.45">
      <c r="A134">
        <v>20140131</v>
      </c>
      <c r="B134" s="65" t="s">
        <v>137</v>
      </c>
      <c r="C134" s="65" t="s">
        <v>130</v>
      </c>
      <c r="D134" s="65" t="s">
        <v>131</v>
      </c>
      <c r="E134" s="65" t="s">
        <v>162</v>
      </c>
    </row>
    <row r="135" spans="1:5" x14ac:dyDescent="0.45">
      <c r="A135">
        <v>20140201</v>
      </c>
      <c r="B135" s="65" t="s">
        <v>137</v>
      </c>
      <c r="C135" s="65" t="s">
        <v>130</v>
      </c>
      <c r="D135" s="65" t="s">
        <v>131</v>
      </c>
      <c r="E135" s="65" t="s">
        <v>162</v>
      </c>
    </row>
    <row r="136" spans="1:5" x14ac:dyDescent="0.45">
      <c r="A136">
        <v>20140202</v>
      </c>
      <c r="B136" s="65" t="s">
        <v>137</v>
      </c>
      <c r="C136" s="65" t="s">
        <v>130</v>
      </c>
      <c r="D136" s="65" t="s">
        <v>131</v>
      </c>
      <c r="E136" s="65" t="s">
        <v>162</v>
      </c>
    </row>
    <row r="137" spans="1:5" x14ac:dyDescent="0.45">
      <c r="A137">
        <v>20140203</v>
      </c>
      <c r="B137" s="65" t="s">
        <v>133</v>
      </c>
      <c r="C137" s="65" t="s">
        <v>130</v>
      </c>
      <c r="D137" s="65" t="s">
        <v>139</v>
      </c>
      <c r="E137" s="65" t="s">
        <v>133</v>
      </c>
    </row>
    <row r="138" spans="1:5" x14ac:dyDescent="0.45">
      <c r="A138">
        <v>20140204</v>
      </c>
      <c r="B138" s="65" t="s">
        <v>133</v>
      </c>
      <c r="C138" s="65" t="s">
        <v>130</v>
      </c>
      <c r="D138" s="65" t="s">
        <v>139</v>
      </c>
      <c r="E138" s="65" t="s">
        <v>133</v>
      </c>
    </row>
    <row r="139" spans="1:5" x14ac:dyDescent="0.45">
      <c r="A139">
        <v>20140208</v>
      </c>
      <c r="B139" s="65" t="s">
        <v>133</v>
      </c>
      <c r="C139" s="65" t="s">
        <v>130</v>
      </c>
      <c r="D139" s="65" t="s">
        <v>134</v>
      </c>
      <c r="E139" s="65" t="s">
        <v>133</v>
      </c>
    </row>
    <row r="140" spans="1:5" x14ac:dyDescent="0.45">
      <c r="A140">
        <v>20140209</v>
      </c>
      <c r="B140" s="65" t="s">
        <v>133</v>
      </c>
      <c r="C140" s="65" t="s">
        <v>130</v>
      </c>
      <c r="D140" s="65" t="s">
        <v>134</v>
      </c>
      <c r="E140" s="65" t="s">
        <v>133</v>
      </c>
    </row>
    <row r="141" spans="1:5" x14ac:dyDescent="0.45">
      <c r="A141">
        <v>20140215</v>
      </c>
      <c r="B141" s="65" t="s">
        <v>133</v>
      </c>
      <c r="C141" s="65" t="s">
        <v>130</v>
      </c>
      <c r="D141" s="65" t="s">
        <v>134</v>
      </c>
      <c r="E141" s="65" t="s">
        <v>133</v>
      </c>
    </row>
    <row r="142" spans="1:5" x14ac:dyDescent="0.45">
      <c r="A142">
        <v>20140216</v>
      </c>
      <c r="B142" s="65" t="s">
        <v>133</v>
      </c>
      <c r="C142" s="65" t="s">
        <v>130</v>
      </c>
      <c r="D142" s="65" t="s">
        <v>134</v>
      </c>
      <c r="E142" s="65" t="s">
        <v>133</v>
      </c>
    </row>
    <row r="143" spans="1:5" x14ac:dyDescent="0.45">
      <c r="A143">
        <v>20140222</v>
      </c>
      <c r="B143" s="65" t="s">
        <v>133</v>
      </c>
      <c r="C143" s="65" t="s">
        <v>130</v>
      </c>
      <c r="D143" s="65" t="s">
        <v>134</v>
      </c>
      <c r="E143" s="65" t="s">
        <v>133</v>
      </c>
    </row>
    <row r="144" spans="1:5" x14ac:dyDescent="0.45">
      <c r="A144">
        <v>20140223</v>
      </c>
      <c r="B144" s="65" t="s">
        <v>133</v>
      </c>
      <c r="C144" s="65" t="s">
        <v>130</v>
      </c>
      <c r="D144" s="65" t="s">
        <v>134</v>
      </c>
      <c r="E144" s="65" t="s">
        <v>133</v>
      </c>
    </row>
    <row r="145" spans="1:5" x14ac:dyDescent="0.45">
      <c r="A145">
        <v>20140228</v>
      </c>
      <c r="B145" s="65" t="s">
        <v>145</v>
      </c>
      <c r="C145" s="65" t="s">
        <v>130</v>
      </c>
      <c r="D145" s="65" t="s">
        <v>131</v>
      </c>
      <c r="E145" s="65" t="s">
        <v>132</v>
      </c>
    </row>
    <row r="146" spans="1:5" x14ac:dyDescent="0.45">
      <c r="A146">
        <v>20140301</v>
      </c>
      <c r="B146" s="65" t="s">
        <v>133</v>
      </c>
      <c r="C146" s="65" t="s">
        <v>130</v>
      </c>
      <c r="D146" s="65" t="s">
        <v>134</v>
      </c>
      <c r="E146" s="65" t="s">
        <v>133</v>
      </c>
    </row>
    <row r="147" spans="1:5" x14ac:dyDescent="0.45">
      <c r="A147">
        <v>20140302</v>
      </c>
      <c r="B147" s="65" t="s">
        <v>133</v>
      </c>
      <c r="C147" s="65" t="s">
        <v>130</v>
      </c>
      <c r="D147" s="65" t="s">
        <v>134</v>
      </c>
      <c r="E147" s="65" t="s">
        <v>133</v>
      </c>
    </row>
    <row r="148" spans="1:5" x14ac:dyDescent="0.45">
      <c r="A148">
        <v>20140308</v>
      </c>
      <c r="B148" s="65" t="s">
        <v>146</v>
      </c>
      <c r="C148" s="65" t="s">
        <v>130</v>
      </c>
      <c r="D148" s="65" t="s">
        <v>147</v>
      </c>
      <c r="E148" s="65" t="s">
        <v>163</v>
      </c>
    </row>
    <row r="149" spans="1:5" x14ac:dyDescent="0.45">
      <c r="A149">
        <v>20140309</v>
      </c>
      <c r="B149" s="65" t="s">
        <v>133</v>
      </c>
      <c r="C149" s="65" t="s">
        <v>130</v>
      </c>
      <c r="D149" s="65" t="s">
        <v>134</v>
      </c>
      <c r="E149" s="65" t="s">
        <v>133</v>
      </c>
    </row>
    <row r="150" spans="1:5" x14ac:dyDescent="0.45">
      <c r="A150">
        <v>20140315</v>
      </c>
      <c r="B150" s="65" t="s">
        <v>133</v>
      </c>
      <c r="C150" s="65" t="s">
        <v>130</v>
      </c>
      <c r="D150" s="65" t="s">
        <v>134</v>
      </c>
      <c r="E150" s="65" t="s">
        <v>133</v>
      </c>
    </row>
    <row r="151" spans="1:5" x14ac:dyDescent="0.45">
      <c r="A151">
        <v>20140316</v>
      </c>
      <c r="B151" s="65" t="s">
        <v>133</v>
      </c>
      <c r="C151" s="65" t="s">
        <v>130</v>
      </c>
      <c r="D151" s="65" t="s">
        <v>134</v>
      </c>
      <c r="E151" s="65" t="s">
        <v>133</v>
      </c>
    </row>
    <row r="152" spans="1:5" x14ac:dyDescent="0.45">
      <c r="A152">
        <v>20140322</v>
      </c>
      <c r="B152" s="65" t="s">
        <v>133</v>
      </c>
      <c r="C152" s="65" t="s">
        <v>130</v>
      </c>
      <c r="D152" s="65" t="s">
        <v>134</v>
      </c>
      <c r="E152" s="65" t="s">
        <v>133</v>
      </c>
    </row>
    <row r="153" spans="1:5" x14ac:dyDescent="0.45">
      <c r="A153">
        <v>20140323</v>
      </c>
      <c r="B153" s="65" t="s">
        <v>133</v>
      </c>
      <c r="C153" s="65" t="s">
        <v>130</v>
      </c>
      <c r="D153" s="65" t="s">
        <v>134</v>
      </c>
      <c r="E153" s="65" t="s">
        <v>133</v>
      </c>
    </row>
    <row r="154" spans="1:5" x14ac:dyDescent="0.45">
      <c r="A154">
        <v>20140329</v>
      </c>
      <c r="B154" s="65" t="s">
        <v>149</v>
      </c>
      <c r="C154" s="65" t="s">
        <v>130</v>
      </c>
      <c r="D154" s="65" t="s">
        <v>147</v>
      </c>
      <c r="E154" s="65" t="s">
        <v>163</v>
      </c>
    </row>
    <row r="155" spans="1:5" x14ac:dyDescent="0.45">
      <c r="A155">
        <v>20140330</v>
      </c>
      <c r="B155" s="65" t="s">
        <v>133</v>
      </c>
      <c r="C155" s="65" t="s">
        <v>130</v>
      </c>
      <c r="D155" s="65" t="s">
        <v>134</v>
      </c>
      <c r="E155" s="65" t="s">
        <v>133</v>
      </c>
    </row>
    <row r="156" spans="1:5" x14ac:dyDescent="0.45">
      <c r="A156">
        <v>20140404</v>
      </c>
      <c r="B156" s="65" t="s">
        <v>164</v>
      </c>
      <c r="C156" s="65" t="s">
        <v>130</v>
      </c>
      <c r="D156" s="65" t="s">
        <v>131</v>
      </c>
      <c r="E156" s="65" t="s">
        <v>132</v>
      </c>
    </row>
    <row r="157" spans="1:5" x14ac:dyDescent="0.45">
      <c r="A157">
        <v>20140405</v>
      </c>
      <c r="B157" s="65" t="s">
        <v>165</v>
      </c>
      <c r="C157" s="65" t="s">
        <v>130</v>
      </c>
      <c r="D157" s="65" t="s">
        <v>131</v>
      </c>
      <c r="E157" s="65" t="s">
        <v>132</v>
      </c>
    </row>
    <row r="158" spans="1:5" x14ac:dyDescent="0.45">
      <c r="A158">
        <v>20140406</v>
      </c>
      <c r="B158" s="65" t="s">
        <v>133</v>
      </c>
      <c r="C158" s="65" t="s">
        <v>130</v>
      </c>
      <c r="D158" s="65" t="s">
        <v>134</v>
      </c>
      <c r="E158" s="65" t="s">
        <v>133</v>
      </c>
    </row>
    <row r="159" spans="1:5" x14ac:dyDescent="0.45">
      <c r="A159">
        <v>20140412</v>
      </c>
      <c r="B159" s="65" t="s">
        <v>133</v>
      </c>
      <c r="C159" s="65" t="s">
        <v>130</v>
      </c>
      <c r="D159" s="65" t="s">
        <v>134</v>
      </c>
      <c r="E159" s="65" t="s">
        <v>133</v>
      </c>
    </row>
    <row r="160" spans="1:5" x14ac:dyDescent="0.45">
      <c r="A160">
        <v>20140413</v>
      </c>
      <c r="B160" s="65" t="s">
        <v>133</v>
      </c>
      <c r="C160" s="65" t="s">
        <v>130</v>
      </c>
      <c r="D160" s="65" t="s">
        <v>134</v>
      </c>
      <c r="E160" s="65" t="s">
        <v>133</v>
      </c>
    </row>
    <row r="161" spans="1:5" x14ac:dyDescent="0.45">
      <c r="A161">
        <v>20140419</v>
      </c>
      <c r="B161" s="65" t="s">
        <v>133</v>
      </c>
      <c r="C161" s="65" t="s">
        <v>130</v>
      </c>
      <c r="D161" s="65" t="s">
        <v>134</v>
      </c>
      <c r="E161" s="65" t="s">
        <v>133</v>
      </c>
    </row>
    <row r="162" spans="1:5" x14ac:dyDescent="0.45">
      <c r="A162">
        <v>20140420</v>
      </c>
      <c r="B162" s="65" t="s">
        <v>133</v>
      </c>
      <c r="C162" s="65" t="s">
        <v>130</v>
      </c>
      <c r="D162" s="65" t="s">
        <v>134</v>
      </c>
      <c r="E162" s="65" t="s">
        <v>133</v>
      </c>
    </row>
    <row r="163" spans="1:5" x14ac:dyDescent="0.45">
      <c r="A163">
        <v>20140426</v>
      </c>
      <c r="B163" s="65" t="s">
        <v>133</v>
      </c>
      <c r="C163" s="65" t="s">
        <v>130</v>
      </c>
      <c r="D163" s="65" t="s">
        <v>134</v>
      </c>
      <c r="E163" s="65" t="s">
        <v>133</v>
      </c>
    </row>
    <row r="164" spans="1:5" x14ac:dyDescent="0.45">
      <c r="A164">
        <v>20140427</v>
      </c>
      <c r="B164" s="65" t="s">
        <v>133</v>
      </c>
      <c r="C164" s="65" t="s">
        <v>130</v>
      </c>
      <c r="D164" s="65" t="s">
        <v>134</v>
      </c>
      <c r="E164" s="65" t="s">
        <v>133</v>
      </c>
    </row>
    <row r="165" spans="1:5" x14ac:dyDescent="0.45">
      <c r="A165">
        <v>20140503</v>
      </c>
      <c r="B165" s="65" t="s">
        <v>133</v>
      </c>
      <c r="C165" s="65" t="s">
        <v>130</v>
      </c>
      <c r="D165" s="65" t="s">
        <v>134</v>
      </c>
      <c r="E165" s="65" t="s">
        <v>133</v>
      </c>
    </row>
    <row r="166" spans="1:5" x14ac:dyDescent="0.45">
      <c r="A166">
        <v>20140504</v>
      </c>
      <c r="B166" s="65" t="s">
        <v>133</v>
      </c>
      <c r="C166" s="65" t="s">
        <v>130</v>
      </c>
      <c r="D166" s="65" t="s">
        <v>134</v>
      </c>
      <c r="E166" s="65" t="s">
        <v>133</v>
      </c>
    </row>
    <row r="167" spans="1:5" x14ac:dyDescent="0.45">
      <c r="A167">
        <v>20140510</v>
      </c>
      <c r="B167" s="65" t="s">
        <v>133</v>
      </c>
      <c r="C167" s="65" t="s">
        <v>130</v>
      </c>
      <c r="D167" s="65" t="s">
        <v>134</v>
      </c>
      <c r="E167" s="65" t="s">
        <v>133</v>
      </c>
    </row>
    <row r="168" spans="1:5" x14ac:dyDescent="0.45">
      <c r="A168">
        <v>20140511</v>
      </c>
      <c r="B168" s="65" t="s">
        <v>133</v>
      </c>
      <c r="C168" s="65" t="s">
        <v>130</v>
      </c>
      <c r="D168" s="65" t="s">
        <v>134</v>
      </c>
      <c r="E168" s="65" t="s">
        <v>133</v>
      </c>
    </row>
    <row r="169" spans="1:5" x14ac:dyDescent="0.45">
      <c r="A169">
        <v>20140517</v>
      </c>
      <c r="B169" s="65" t="s">
        <v>133</v>
      </c>
      <c r="C169" s="65" t="s">
        <v>130</v>
      </c>
      <c r="D169" s="65" t="s">
        <v>134</v>
      </c>
      <c r="E169" s="65" t="s">
        <v>133</v>
      </c>
    </row>
    <row r="170" spans="1:5" x14ac:dyDescent="0.45">
      <c r="A170">
        <v>20140518</v>
      </c>
      <c r="B170" s="65" t="s">
        <v>133</v>
      </c>
      <c r="C170" s="65" t="s">
        <v>130</v>
      </c>
      <c r="D170" s="65" t="s">
        <v>134</v>
      </c>
      <c r="E170" s="65" t="s">
        <v>133</v>
      </c>
    </row>
    <row r="171" spans="1:5" x14ac:dyDescent="0.45">
      <c r="A171">
        <v>20140524</v>
      </c>
      <c r="B171" s="65" t="s">
        <v>133</v>
      </c>
      <c r="C171" s="65" t="s">
        <v>130</v>
      </c>
      <c r="D171" s="65" t="s">
        <v>134</v>
      </c>
      <c r="E171" s="65" t="s">
        <v>133</v>
      </c>
    </row>
    <row r="172" spans="1:5" x14ac:dyDescent="0.45">
      <c r="A172">
        <v>20140525</v>
      </c>
      <c r="B172" s="65" t="s">
        <v>133</v>
      </c>
      <c r="C172" s="65" t="s">
        <v>130</v>
      </c>
      <c r="D172" s="65" t="s">
        <v>134</v>
      </c>
      <c r="E172" s="65" t="s">
        <v>133</v>
      </c>
    </row>
    <row r="173" spans="1:5" x14ac:dyDescent="0.45">
      <c r="A173">
        <v>20140531</v>
      </c>
      <c r="B173" s="65" t="s">
        <v>133</v>
      </c>
      <c r="C173" s="65" t="s">
        <v>130</v>
      </c>
      <c r="D173" s="65" t="s">
        <v>134</v>
      </c>
      <c r="E173" s="65" t="s">
        <v>133</v>
      </c>
    </row>
    <row r="174" spans="1:5" x14ac:dyDescent="0.45">
      <c r="A174">
        <v>20140601</v>
      </c>
      <c r="B174" s="65" t="s">
        <v>133</v>
      </c>
      <c r="C174" s="65" t="s">
        <v>130</v>
      </c>
      <c r="D174" s="65" t="s">
        <v>134</v>
      </c>
      <c r="E174" s="65" t="s">
        <v>133</v>
      </c>
    </row>
    <row r="175" spans="1:5" x14ac:dyDescent="0.45">
      <c r="A175">
        <v>20140602</v>
      </c>
      <c r="B175" s="65" t="s">
        <v>153</v>
      </c>
      <c r="C175" s="65" t="s">
        <v>130</v>
      </c>
      <c r="D175" s="65" t="s">
        <v>131</v>
      </c>
      <c r="E175" s="65" t="s">
        <v>132</v>
      </c>
    </row>
    <row r="176" spans="1:5" x14ac:dyDescent="0.45">
      <c r="A176">
        <v>20140607</v>
      </c>
      <c r="B176" s="65" t="s">
        <v>133</v>
      </c>
      <c r="C176" s="65" t="s">
        <v>130</v>
      </c>
      <c r="D176" s="65" t="s">
        <v>134</v>
      </c>
      <c r="E176" s="65" t="s">
        <v>133</v>
      </c>
    </row>
    <row r="177" spans="1:5" x14ac:dyDescent="0.45">
      <c r="A177">
        <v>20140608</v>
      </c>
      <c r="B177" s="65" t="s">
        <v>133</v>
      </c>
      <c r="C177" s="65" t="s">
        <v>130</v>
      </c>
      <c r="D177" s="65" t="s">
        <v>134</v>
      </c>
      <c r="E177" s="65" t="s">
        <v>133</v>
      </c>
    </row>
    <row r="178" spans="1:5" x14ac:dyDescent="0.45">
      <c r="A178">
        <v>20140614</v>
      </c>
      <c r="B178" s="65" t="s">
        <v>133</v>
      </c>
      <c r="C178" s="65" t="s">
        <v>130</v>
      </c>
      <c r="D178" s="65" t="s">
        <v>134</v>
      </c>
      <c r="E178" s="65" t="s">
        <v>133</v>
      </c>
    </row>
    <row r="179" spans="1:5" x14ac:dyDescent="0.45">
      <c r="A179">
        <v>20140615</v>
      </c>
      <c r="B179" s="65" t="s">
        <v>133</v>
      </c>
      <c r="C179" s="65" t="s">
        <v>130</v>
      </c>
      <c r="D179" s="65" t="s">
        <v>134</v>
      </c>
      <c r="E179" s="65" t="s">
        <v>133</v>
      </c>
    </row>
    <row r="180" spans="1:5" x14ac:dyDescent="0.45">
      <c r="A180">
        <v>20140621</v>
      </c>
      <c r="B180" s="65" t="s">
        <v>133</v>
      </c>
      <c r="C180" s="65" t="s">
        <v>130</v>
      </c>
      <c r="D180" s="65" t="s">
        <v>134</v>
      </c>
      <c r="E180" s="65" t="s">
        <v>133</v>
      </c>
    </row>
    <row r="181" spans="1:5" x14ac:dyDescent="0.45">
      <c r="A181">
        <v>20140622</v>
      </c>
      <c r="B181" s="65" t="s">
        <v>133</v>
      </c>
      <c r="C181" s="65" t="s">
        <v>130</v>
      </c>
      <c r="D181" s="65" t="s">
        <v>134</v>
      </c>
      <c r="E181" s="65" t="s">
        <v>133</v>
      </c>
    </row>
    <row r="182" spans="1:5" x14ac:dyDescent="0.45">
      <c r="A182">
        <v>20140628</v>
      </c>
      <c r="B182" s="65" t="s">
        <v>133</v>
      </c>
      <c r="C182" s="65" t="s">
        <v>130</v>
      </c>
      <c r="D182" s="65" t="s">
        <v>134</v>
      </c>
      <c r="E182" s="65" t="s">
        <v>133</v>
      </c>
    </row>
    <row r="183" spans="1:5" x14ac:dyDescent="0.45">
      <c r="A183">
        <v>20140629</v>
      </c>
      <c r="B183" s="65" t="s">
        <v>133</v>
      </c>
      <c r="C183" s="65" t="s">
        <v>130</v>
      </c>
      <c r="D183" s="65" t="s">
        <v>134</v>
      </c>
      <c r="E183" s="65" t="s">
        <v>133</v>
      </c>
    </row>
    <row r="184" spans="1:5" x14ac:dyDescent="0.45">
      <c r="A184">
        <v>20140705</v>
      </c>
      <c r="B184" s="65" t="s">
        <v>133</v>
      </c>
      <c r="C184" s="65" t="s">
        <v>130</v>
      </c>
      <c r="D184" s="65" t="s">
        <v>134</v>
      </c>
      <c r="E184" s="65" t="s">
        <v>133</v>
      </c>
    </row>
    <row r="185" spans="1:5" x14ac:dyDescent="0.45">
      <c r="A185">
        <v>20140706</v>
      </c>
      <c r="B185" s="65" t="s">
        <v>133</v>
      </c>
      <c r="C185" s="65" t="s">
        <v>130</v>
      </c>
      <c r="D185" s="65" t="s">
        <v>134</v>
      </c>
      <c r="E185" s="65" t="s">
        <v>133</v>
      </c>
    </row>
    <row r="186" spans="1:5" x14ac:dyDescent="0.45">
      <c r="A186">
        <v>20140712</v>
      </c>
      <c r="B186" s="65" t="s">
        <v>133</v>
      </c>
      <c r="C186" s="65" t="s">
        <v>130</v>
      </c>
      <c r="D186" s="65" t="s">
        <v>134</v>
      </c>
      <c r="E186" s="65" t="s">
        <v>133</v>
      </c>
    </row>
    <row r="187" spans="1:5" x14ac:dyDescent="0.45">
      <c r="A187">
        <v>20140713</v>
      </c>
      <c r="B187" s="65" t="s">
        <v>133</v>
      </c>
      <c r="C187" s="65" t="s">
        <v>130</v>
      </c>
      <c r="D187" s="65" t="s">
        <v>134</v>
      </c>
      <c r="E187" s="65" t="s">
        <v>133</v>
      </c>
    </row>
    <row r="188" spans="1:5" x14ac:dyDescent="0.45">
      <c r="A188">
        <v>20140719</v>
      </c>
      <c r="B188" s="65" t="s">
        <v>133</v>
      </c>
      <c r="C188" s="65" t="s">
        <v>130</v>
      </c>
      <c r="D188" s="65" t="s">
        <v>134</v>
      </c>
      <c r="E188" s="65" t="s">
        <v>133</v>
      </c>
    </row>
    <row r="189" spans="1:5" x14ac:dyDescent="0.45">
      <c r="A189">
        <v>20140720</v>
      </c>
      <c r="B189" s="65" t="s">
        <v>133</v>
      </c>
      <c r="C189" s="65" t="s">
        <v>130</v>
      </c>
      <c r="D189" s="65" t="s">
        <v>134</v>
      </c>
      <c r="E189" s="65" t="s">
        <v>133</v>
      </c>
    </row>
    <row r="190" spans="1:5" x14ac:dyDescent="0.45">
      <c r="A190">
        <v>20140726</v>
      </c>
      <c r="B190" s="65" t="s">
        <v>133</v>
      </c>
      <c r="C190" s="65" t="s">
        <v>130</v>
      </c>
      <c r="D190" s="65" t="s">
        <v>134</v>
      </c>
      <c r="E190" s="65" t="s">
        <v>133</v>
      </c>
    </row>
    <row r="191" spans="1:5" x14ac:dyDescent="0.45">
      <c r="A191">
        <v>20140727</v>
      </c>
      <c r="B191" s="65" t="s">
        <v>133</v>
      </c>
      <c r="C191" s="65" t="s">
        <v>130</v>
      </c>
      <c r="D191" s="65" t="s">
        <v>134</v>
      </c>
      <c r="E191" s="65" t="s">
        <v>133</v>
      </c>
    </row>
    <row r="192" spans="1:5" x14ac:dyDescent="0.45">
      <c r="A192">
        <v>20140802</v>
      </c>
      <c r="B192" s="65" t="s">
        <v>133</v>
      </c>
      <c r="C192" s="65" t="s">
        <v>130</v>
      </c>
      <c r="D192" s="65" t="s">
        <v>134</v>
      </c>
      <c r="E192" s="65" t="s">
        <v>133</v>
      </c>
    </row>
    <row r="193" spans="1:5" x14ac:dyDescent="0.45">
      <c r="A193">
        <v>20140803</v>
      </c>
      <c r="B193" s="65" t="s">
        <v>133</v>
      </c>
      <c r="C193" s="65" t="s">
        <v>130</v>
      </c>
      <c r="D193" s="65" t="s">
        <v>134</v>
      </c>
      <c r="E193" s="65" t="s">
        <v>133</v>
      </c>
    </row>
    <row r="194" spans="1:5" x14ac:dyDescent="0.45">
      <c r="A194">
        <v>20140809</v>
      </c>
      <c r="B194" s="65" t="s">
        <v>133</v>
      </c>
      <c r="C194" s="65" t="s">
        <v>130</v>
      </c>
      <c r="D194" s="65" t="s">
        <v>134</v>
      </c>
      <c r="E194" s="65" t="s">
        <v>133</v>
      </c>
    </row>
    <row r="195" spans="1:5" x14ac:dyDescent="0.45">
      <c r="A195">
        <v>20140810</v>
      </c>
      <c r="B195" s="65" t="s">
        <v>133</v>
      </c>
      <c r="C195" s="65" t="s">
        <v>130</v>
      </c>
      <c r="D195" s="65" t="s">
        <v>134</v>
      </c>
      <c r="E195" s="65" t="s">
        <v>133</v>
      </c>
    </row>
    <row r="196" spans="1:5" x14ac:dyDescent="0.45">
      <c r="A196">
        <v>20140816</v>
      </c>
      <c r="B196" s="65" t="s">
        <v>133</v>
      </c>
      <c r="C196" s="65" t="s">
        <v>130</v>
      </c>
      <c r="D196" s="65" t="s">
        <v>134</v>
      </c>
      <c r="E196" s="65" t="s">
        <v>133</v>
      </c>
    </row>
    <row r="197" spans="1:5" x14ac:dyDescent="0.45">
      <c r="A197">
        <v>20140817</v>
      </c>
      <c r="B197" s="65" t="s">
        <v>133</v>
      </c>
      <c r="C197" s="65" t="s">
        <v>130</v>
      </c>
      <c r="D197" s="65" t="s">
        <v>134</v>
      </c>
      <c r="E197" s="65" t="s">
        <v>133</v>
      </c>
    </row>
    <row r="198" spans="1:5" x14ac:dyDescent="0.45">
      <c r="A198">
        <v>20140823</v>
      </c>
      <c r="B198" s="65" t="s">
        <v>133</v>
      </c>
      <c r="C198" s="65" t="s">
        <v>130</v>
      </c>
      <c r="D198" s="65" t="s">
        <v>134</v>
      </c>
      <c r="E198" s="65" t="s">
        <v>133</v>
      </c>
    </row>
    <row r="199" spans="1:5" x14ac:dyDescent="0.45">
      <c r="A199">
        <v>20140824</v>
      </c>
      <c r="B199" s="65" t="s">
        <v>133</v>
      </c>
      <c r="C199" s="65" t="s">
        <v>130</v>
      </c>
      <c r="D199" s="65" t="s">
        <v>134</v>
      </c>
      <c r="E199" s="65" t="s">
        <v>133</v>
      </c>
    </row>
    <row r="200" spans="1:5" x14ac:dyDescent="0.45">
      <c r="A200">
        <v>20140830</v>
      </c>
      <c r="B200" s="65" t="s">
        <v>133</v>
      </c>
      <c r="C200" s="65" t="s">
        <v>130</v>
      </c>
      <c r="D200" s="65" t="s">
        <v>134</v>
      </c>
      <c r="E200" s="65" t="s">
        <v>133</v>
      </c>
    </row>
    <row r="201" spans="1:5" x14ac:dyDescent="0.45">
      <c r="A201">
        <v>20140831</v>
      </c>
      <c r="B201" s="65" t="s">
        <v>133</v>
      </c>
      <c r="C201" s="65" t="s">
        <v>130</v>
      </c>
      <c r="D201" s="65" t="s">
        <v>134</v>
      </c>
      <c r="E201" s="65" t="s">
        <v>133</v>
      </c>
    </row>
    <row r="202" spans="1:5" x14ac:dyDescent="0.45">
      <c r="A202">
        <v>20140906</v>
      </c>
      <c r="B202" s="65" t="s">
        <v>133</v>
      </c>
      <c r="C202" s="65" t="s">
        <v>130</v>
      </c>
      <c r="D202" s="65" t="s">
        <v>134</v>
      </c>
      <c r="E202" s="65" t="s">
        <v>133</v>
      </c>
    </row>
    <row r="203" spans="1:5" x14ac:dyDescent="0.45">
      <c r="A203">
        <v>20140907</v>
      </c>
      <c r="B203" s="65" t="s">
        <v>133</v>
      </c>
      <c r="C203" s="65" t="s">
        <v>130</v>
      </c>
      <c r="D203" s="65" t="s">
        <v>134</v>
      </c>
      <c r="E203" s="65" t="s">
        <v>133</v>
      </c>
    </row>
    <row r="204" spans="1:5" x14ac:dyDescent="0.45">
      <c r="A204">
        <v>20140908</v>
      </c>
      <c r="B204" s="65" t="s">
        <v>154</v>
      </c>
      <c r="C204" s="65" t="s">
        <v>130</v>
      </c>
      <c r="D204" s="65" t="s">
        <v>131</v>
      </c>
      <c r="E204" s="65" t="s">
        <v>132</v>
      </c>
    </row>
    <row r="205" spans="1:5" x14ac:dyDescent="0.45">
      <c r="A205">
        <v>20140913</v>
      </c>
      <c r="B205" s="65" t="s">
        <v>133</v>
      </c>
      <c r="C205" s="65" t="s">
        <v>130</v>
      </c>
      <c r="D205" s="65" t="s">
        <v>134</v>
      </c>
      <c r="E205" s="65" t="s">
        <v>133</v>
      </c>
    </row>
    <row r="206" spans="1:5" x14ac:dyDescent="0.45">
      <c r="A206">
        <v>20140914</v>
      </c>
      <c r="B206" s="65" t="s">
        <v>133</v>
      </c>
      <c r="C206" s="65" t="s">
        <v>130</v>
      </c>
      <c r="D206" s="65" t="s">
        <v>134</v>
      </c>
      <c r="E206" s="65" t="s">
        <v>133</v>
      </c>
    </row>
    <row r="207" spans="1:5" x14ac:dyDescent="0.45">
      <c r="A207">
        <v>20140920</v>
      </c>
      <c r="B207" s="65" t="s">
        <v>133</v>
      </c>
      <c r="C207" s="65" t="s">
        <v>130</v>
      </c>
      <c r="D207" s="65" t="s">
        <v>134</v>
      </c>
      <c r="E207" s="65" t="s">
        <v>133</v>
      </c>
    </row>
    <row r="208" spans="1:5" x14ac:dyDescent="0.45">
      <c r="A208">
        <v>20140921</v>
      </c>
      <c r="B208" s="65" t="s">
        <v>133</v>
      </c>
      <c r="C208" s="65" t="s">
        <v>130</v>
      </c>
      <c r="D208" s="65" t="s">
        <v>134</v>
      </c>
      <c r="E208" s="65" t="s">
        <v>133</v>
      </c>
    </row>
    <row r="209" spans="1:5" x14ac:dyDescent="0.45">
      <c r="A209">
        <v>20140927</v>
      </c>
      <c r="B209" s="65" t="s">
        <v>133</v>
      </c>
      <c r="C209" s="65" t="s">
        <v>130</v>
      </c>
      <c r="D209" s="65" t="s">
        <v>134</v>
      </c>
      <c r="E209" s="65" t="s">
        <v>133</v>
      </c>
    </row>
    <row r="210" spans="1:5" x14ac:dyDescent="0.45">
      <c r="A210">
        <v>20140928</v>
      </c>
      <c r="B210" s="65" t="s">
        <v>156</v>
      </c>
      <c r="C210" s="65" t="s">
        <v>130</v>
      </c>
      <c r="D210" s="65" t="s">
        <v>147</v>
      </c>
      <c r="E210" s="65" t="s">
        <v>166</v>
      </c>
    </row>
    <row r="211" spans="1:5" x14ac:dyDescent="0.45">
      <c r="A211">
        <v>20141004</v>
      </c>
      <c r="B211" s="65" t="s">
        <v>133</v>
      </c>
      <c r="C211" s="65" t="s">
        <v>130</v>
      </c>
      <c r="D211" s="65" t="s">
        <v>134</v>
      </c>
      <c r="E211" s="65" t="s">
        <v>133</v>
      </c>
    </row>
    <row r="212" spans="1:5" x14ac:dyDescent="0.45">
      <c r="A212">
        <v>20141005</v>
      </c>
      <c r="B212" s="65" t="s">
        <v>133</v>
      </c>
      <c r="C212" s="65" t="s">
        <v>130</v>
      </c>
      <c r="D212" s="65" t="s">
        <v>134</v>
      </c>
      <c r="E212" s="65" t="s">
        <v>133</v>
      </c>
    </row>
    <row r="213" spans="1:5" x14ac:dyDescent="0.45">
      <c r="A213">
        <v>20141010</v>
      </c>
      <c r="B213" s="65" t="s">
        <v>158</v>
      </c>
      <c r="C213" s="65" t="s">
        <v>130</v>
      </c>
      <c r="D213" s="65" t="s">
        <v>131</v>
      </c>
      <c r="E213" s="65" t="s">
        <v>132</v>
      </c>
    </row>
    <row r="214" spans="1:5" x14ac:dyDescent="0.45">
      <c r="A214">
        <v>20141011</v>
      </c>
      <c r="B214" s="65" t="s">
        <v>133</v>
      </c>
      <c r="C214" s="65" t="s">
        <v>130</v>
      </c>
      <c r="D214" s="65" t="s">
        <v>134</v>
      </c>
      <c r="E214" s="65" t="s">
        <v>133</v>
      </c>
    </row>
    <row r="215" spans="1:5" x14ac:dyDescent="0.45">
      <c r="A215">
        <v>20141012</v>
      </c>
      <c r="B215" s="65" t="s">
        <v>133</v>
      </c>
      <c r="C215" s="65" t="s">
        <v>130</v>
      </c>
      <c r="D215" s="65" t="s">
        <v>134</v>
      </c>
      <c r="E215" s="65" t="s">
        <v>133</v>
      </c>
    </row>
    <row r="216" spans="1:5" x14ac:dyDescent="0.45">
      <c r="A216">
        <v>20141018</v>
      </c>
      <c r="B216" s="65" t="s">
        <v>133</v>
      </c>
      <c r="C216" s="65" t="s">
        <v>130</v>
      </c>
      <c r="D216" s="65" t="s">
        <v>134</v>
      </c>
      <c r="E216" s="65" t="s">
        <v>133</v>
      </c>
    </row>
    <row r="217" spans="1:5" x14ac:dyDescent="0.45">
      <c r="A217">
        <v>20141019</v>
      </c>
      <c r="B217" s="65" t="s">
        <v>133</v>
      </c>
      <c r="C217" s="65" t="s">
        <v>130</v>
      </c>
      <c r="D217" s="65" t="s">
        <v>134</v>
      </c>
      <c r="E217" s="65" t="s">
        <v>133</v>
      </c>
    </row>
    <row r="218" spans="1:5" x14ac:dyDescent="0.45">
      <c r="A218">
        <v>20141025</v>
      </c>
      <c r="B218" s="65" t="s">
        <v>159</v>
      </c>
      <c r="C218" s="65" t="s">
        <v>130</v>
      </c>
      <c r="D218" s="65" t="s">
        <v>147</v>
      </c>
      <c r="E218" s="65" t="s">
        <v>157</v>
      </c>
    </row>
    <row r="219" spans="1:5" x14ac:dyDescent="0.45">
      <c r="A219">
        <v>20141026</v>
      </c>
      <c r="B219" s="65" t="s">
        <v>133</v>
      </c>
      <c r="C219" s="65" t="s">
        <v>130</v>
      </c>
      <c r="D219" s="65" t="s">
        <v>134</v>
      </c>
      <c r="E219" s="65" t="s">
        <v>133</v>
      </c>
    </row>
    <row r="220" spans="1:5" x14ac:dyDescent="0.45">
      <c r="A220">
        <v>20141101</v>
      </c>
      <c r="B220" s="65" t="s">
        <v>133</v>
      </c>
      <c r="C220" s="65" t="s">
        <v>130</v>
      </c>
      <c r="D220" s="65" t="s">
        <v>134</v>
      </c>
      <c r="E220" s="65" t="s">
        <v>133</v>
      </c>
    </row>
    <row r="221" spans="1:5" x14ac:dyDescent="0.45">
      <c r="A221">
        <v>20141102</v>
      </c>
      <c r="B221" s="65" t="s">
        <v>133</v>
      </c>
      <c r="C221" s="65" t="s">
        <v>130</v>
      </c>
      <c r="D221" s="65" t="s">
        <v>134</v>
      </c>
      <c r="E221" s="65" t="s">
        <v>133</v>
      </c>
    </row>
    <row r="222" spans="1:5" x14ac:dyDescent="0.45">
      <c r="A222">
        <v>20141108</v>
      </c>
      <c r="B222" s="65" t="s">
        <v>133</v>
      </c>
      <c r="C222" s="65" t="s">
        <v>130</v>
      </c>
      <c r="D222" s="65" t="s">
        <v>134</v>
      </c>
      <c r="E222" s="65" t="s">
        <v>133</v>
      </c>
    </row>
    <row r="223" spans="1:5" x14ac:dyDescent="0.45">
      <c r="A223">
        <v>20141109</v>
      </c>
      <c r="B223" s="65" t="s">
        <v>133</v>
      </c>
      <c r="C223" s="65" t="s">
        <v>130</v>
      </c>
      <c r="D223" s="65" t="s">
        <v>134</v>
      </c>
      <c r="E223" s="65" t="s">
        <v>133</v>
      </c>
    </row>
    <row r="224" spans="1:5" x14ac:dyDescent="0.45">
      <c r="A224">
        <v>20141112</v>
      </c>
      <c r="B224" s="65" t="s">
        <v>160</v>
      </c>
      <c r="C224" s="65" t="s">
        <v>142</v>
      </c>
      <c r="D224" s="65" t="s">
        <v>147</v>
      </c>
      <c r="E224" s="65" t="s">
        <v>148</v>
      </c>
    </row>
    <row r="225" spans="1:5" x14ac:dyDescent="0.45">
      <c r="A225">
        <v>20141115</v>
      </c>
      <c r="B225" s="65" t="s">
        <v>133</v>
      </c>
      <c r="C225" s="65" t="s">
        <v>130</v>
      </c>
      <c r="D225" s="65" t="s">
        <v>134</v>
      </c>
      <c r="E225" s="65" t="s">
        <v>133</v>
      </c>
    </row>
    <row r="226" spans="1:5" x14ac:dyDescent="0.45">
      <c r="A226">
        <v>20141116</v>
      </c>
      <c r="B226" s="65" t="s">
        <v>133</v>
      </c>
      <c r="C226" s="65" t="s">
        <v>130</v>
      </c>
      <c r="D226" s="65" t="s">
        <v>134</v>
      </c>
      <c r="E226" s="65" t="s">
        <v>133</v>
      </c>
    </row>
    <row r="227" spans="1:5" x14ac:dyDescent="0.45">
      <c r="A227">
        <v>20141122</v>
      </c>
      <c r="B227" s="65" t="s">
        <v>133</v>
      </c>
      <c r="C227" s="65" t="s">
        <v>130</v>
      </c>
      <c r="D227" s="65" t="s">
        <v>134</v>
      </c>
      <c r="E227" s="65" t="s">
        <v>133</v>
      </c>
    </row>
    <row r="228" spans="1:5" x14ac:dyDescent="0.45">
      <c r="A228">
        <v>20141123</v>
      </c>
      <c r="B228" s="65" t="s">
        <v>133</v>
      </c>
      <c r="C228" s="65" t="s">
        <v>130</v>
      </c>
      <c r="D228" s="65" t="s">
        <v>134</v>
      </c>
      <c r="E228" s="65" t="s">
        <v>133</v>
      </c>
    </row>
    <row r="229" spans="1:5" x14ac:dyDescent="0.45">
      <c r="A229">
        <v>20141129</v>
      </c>
      <c r="B229" s="65" t="s">
        <v>133</v>
      </c>
      <c r="C229" s="65" t="s">
        <v>130</v>
      </c>
      <c r="D229" s="65" t="s">
        <v>134</v>
      </c>
      <c r="E229" s="65" t="s">
        <v>133</v>
      </c>
    </row>
    <row r="230" spans="1:5" x14ac:dyDescent="0.45">
      <c r="A230">
        <v>20141130</v>
      </c>
      <c r="B230" s="65" t="s">
        <v>133</v>
      </c>
      <c r="C230" s="65" t="s">
        <v>130</v>
      </c>
      <c r="D230" s="65" t="s">
        <v>134</v>
      </c>
      <c r="E230" s="65" t="s">
        <v>133</v>
      </c>
    </row>
    <row r="231" spans="1:5" x14ac:dyDescent="0.45">
      <c r="A231">
        <v>20141206</v>
      </c>
      <c r="B231" s="65" t="s">
        <v>133</v>
      </c>
      <c r="C231" s="65" t="s">
        <v>130</v>
      </c>
      <c r="D231" s="65" t="s">
        <v>134</v>
      </c>
      <c r="E231" s="65" t="s">
        <v>133</v>
      </c>
    </row>
    <row r="232" spans="1:5" x14ac:dyDescent="0.45">
      <c r="A232">
        <v>20141207</v>
      </c>
      <c r="B232" s="65" t="s">
        <v>133</v>
      </c>
      <c r="C232" s="65" t="s">
        <v>130</v>
      </c>
      <c r="D232" s="65" t="s">
        <v>134</v>
      </c>
      <c r="E232" s="65" t="s">
        <v>133</v>
      </c>
    </row>
    <row r="233" spans="1:5" x14ac:dyDescent="0.45">
      <c r="A233">
        <v>20141213</v>
      </c>
      <c r="B233" s="65" t="s">
        <v>133</v>
      </c>
      <c r="C233" s="65" t="s">
        <v>130</v>
      </c>
      <c r="D233" s="65" t="s">
        <v>134</v>
      </c>
      <c r="E233" s="65" t="s">
        <v>133</v>
      </c>
    </row>
    <row r="234" spans="1:5" x14ac:dyDescent="0.45">
      <c r="A234">
        <v>20141214</v>
      </c>
      <c r="B234" s="65" t="s">
        <v>133</v>
      </c>
      <c r="C234" s="65" t="s">
        <v>130</v>
      </c>
      <c r="D234" s="65" t="s">
        <v>134</v>
      </c>
      <c r="E234" s="65" t="s">
        <v>133</v>
      </c>
    </row>
    <row r="235" spans="1:5" x14ac:dyDescent="0.45">
      <c r="A235">
        <v>20141220</v>
      </c>
      <c r="B235" s="65" t="s">
        <v>133</v>
      </c>
      <c r="C235" s="65" t="s">
        <v>130</v>
      </c>
      <c r="D235" s="65" t="s">
        <v>134</v>
      </c>
      <c r="E235" s="65" t="s">
        <v>133</v>
      </c>
    </row>
    <row r="236" spans="1:5" x14ac:dyDescent="0.45">
      <c r="A236">
        <v>20141221</v>
      </c>
      <c r="B236" s="65" t="s">
        <v>133</v>
      </c>
      <c r="C236" s="65" t="s">
        <v>130</v>
      </c>
      <c r="D236" s="65" t="s">
        <v>134</v>
      </c>
      <c r="E236" s="65" t="s">
        <v>133</v>
      </c>
    </row>
    <row r="237" spans="1:5" x14ac:dyDescent="0.45">
      <c r="A237">
        <v>20141225</v>
      </c>
      <c r="B237" s="65" t="s">
        <v>161</v>
      </c>
      <c r="C237" s="65" t="s">
        <v>142</v>
      </c>
      <c r="D237" s="65" t="s">
        <v>147</v>
      </c>
      <c r="E237" s="65" t="s">
        <v>148</v>
      </c>
    </row>
    <row r="238" spans="1:5" x14ac:dyDescent="0.45">
      <c r="A238">
        <v>20141227</v>
      </c>
      <c r="B238" s="65" t="s">
        <v>133</v>
      </c>
      <c r="C238" s="65" t="s">
        <v>142</v>
      </c>
      <c r="D238" s="65" t="s">
        <v>143</v>
      </c>
      <c r="E238" s="65" t="s">
        <v>133</v>
      </c>
    </row>
    <row r="239" spans="1:5" x14ac:dyDescent="0.45">
      <c r="A239">
        <v>20141228</v>
      </c>
      <c r="B239" s="65" t="s">
        <v>133</v>
      </c>
      <c r="C239" s="65" t="s">
        <v>130</v>
      </c>
      <c r="D239" s="65" t="s">
        <v>134</v>
      </c>
      <c r="E239" s="65" t="s">
        <v>133</v>
      </c>
    </row>
    <row r="240" spans="1:5" x14ac:dyDescent="0.45">
      <c r="A240">
        <v>20150101</v>
      </c>
      <c r="B240" s="65" t="s">
        <v>129</v>
      </c>
      <c r="C240" s="65" t="s">
        <v>130</v>
      </c>
      <c r="D240" s="65" t="s">
        <v>131</v>
      </c>
      <c r="E240" s="65" t="s">
        <v>132</v>
      </c>
    </row>
    <row r="241" spans="1:5" x14ac:dyDescent="0.45">
      <c r="A241">
        <v>20150102</v>
      </c>
      <c r="B241" s="65" t="s">
        <v>133</v>
      </c>
      <c r="C241" s="65" t="s">
        <v>130</v>
      </c>
      <c r="D241" s="65" t="s">
        <v>140</v>
      </c>
      <c r="E241" s="65" t="s">
        <v>133</v>
      </c>
    </row>
    <row r="242" spans="1:5" x14ac:dyDescent="0.45">
      <c r="A242">
        <v>20150103</v>
      </c>
      <c r="B242" s="65" t="s">
        <v>133</v>
      </c>
      <c r="C242" s="65" t="s">
        <v>130</v>
      </c>
      <c r="D242" s="65" t="s">
        <v>134</v>
      </c>
      <c r="E242" s="65" t="s">
        <v>133</v>
      </c>
    </row>
    <row r="243" spans="1:5" x14ac:dyDescent="0.45">
      <c r="A243">
        <v>20150104</v>
      </c>
      <c r="B243" s="65" t="s">
        <v>133</v>
      </c>
      <c r="C243" s="65" t="s">
        <v>130</v>
      </c>
      <c r="D243" s="65" t="s">
        <v>134</v>
      </c>
      <c r="E243" s="65" t="s">
        <v>133</v>
      </c>
    </row>
    <row r="244" spans="1:5" x14ac:dyDescent="0.45">
      <c r="A244">
        <v>20150110</v>
      </c>
      <c r="B244" s="65" t="s">
        <v>133</v>
      </c>
      <c r="C244" s="65" t="s">
        <v>130</v>
      </c>
      <c r="D244" s="65" t="s">
        <v>134</v>
      </c>
      <c r="E244" s="65" t="s">
        <v>133</v>
      </c>
    </row>
    <row r="245" spans="1:5" x14ac:dyDescent="0.45">
      <c r="A245">
        <v>20150111</v>
      </c>
      <c r="B245" s="65" t="s">
        <v>133</v>
      </c>
      <c r="C245" s="65" t="s">
        <v>130</v>
      </c>
      <c r="D245" s="65" t="s">
        <v>134</v>
      </c>
      <c r="E245" s="65" t="s">
        <v>133</v>
      </c>
    </row>
    <row r="246" spans="1:5" x14ac:dyDescent="0.45">
      <c r="A246">
        <v>20150117</v>
      </c>
      <c r="B246" s="65" t="s">
        <v>133</v>
      </c>
      <c r="C246" s="65" t="s">
        <v>130</v>
      </c>
      <c r="D246" s="65" t="s">
        <v>134</v>
      </c>
      <c r="E246" s="65" t="s">
        <v>133</v>
      </c>
    </row>
    <row r="247" spans="1:5" x14ac:dyDescent="0.45">
      <c r="A247">
        <v>20150118</v>
      </c>
      <c r="B247" s="65" t="s">
        <v>133</v>
      </c>
      <c r="C247" s="65" t="s">
        <v>130</v>
      </c>
      <c r="D247" s="65" t="s">
        <v>134</v>
      </c>
      <c r="E247" s="65" t="s">
        <v>133</v>
      </c>
    </row>
    <row r="248" spans="1:5" x14ac:dyDescent="0.45">
      <c r="A248">
        <v>20150124</v>
      </c>
      <c r="B248" s="65" t="s">
        <v>133</v>
      </c>
      <c r="C248" s="65" t="s">
        <v>130</v>
      </c>
      <c r="D248" s="65" t="s">
        <v>134</v>
      </c>
      <c r="E248" s="65" t="s">
        <v>133</v>
      </c>
    </row>
    <row r="249" spans="1:5" x14ac:dyDescent="0.45">
      <c r="A249">
        <v>20150125</v>
      </c>
      <c r="B249" s="65" t="s">
        <v>133</v>
      </c>
      <c r="C249" s="65" t="s">
        <v>130</v>
      </c>
      <c r="D249" s="65" t="s">
        <v>134</v>
      </c>
      <c r="E249" s="65" t="s">
        <v>133</v>
      </c>
    </row>
    <row r="250" spans="1:5" x14ac:dyDescent="0.45">
      <c r="A250">
        <v>20150131</v>
      </c>
      <c r="B250" s="65" t="s">
        <v>133</v>
      </c>
      <c r="C250" s="65" t="s">
        <v>130</v>
      </c>
      <c r="D250" s="65" t="s">
        <v>134</v>
      </c>
      <c r="E250" s="65" t="s">
        <v>133</v>
      </c>
    </row>
    <row r="251" spans="1:5" x14ac:dyDescent="0.45">
      <c r="A251">
        <v>20150201</v>
      </c>
      <c r="B251" s="65" t="s">
        <v>133</v>
      </c>
      <c r="C251" s="65" t="s">
        <v>130</v>
      </c>
      <c r="D251" s="65" t="s">
        <v>134</v>
      </c>
      <c r="E251" s="65" t="s">
        <v>133</v>
      </c>
    </row>
    <row r="252" spans="1:5" x14ac:dyDescent="0.45">
      <c r="A252">
        <v>20150207</v>
      </c>
      <c r="B252" s="65" t="s">
        <v>133</v>
      </c>
      <c r="C252" s="65" t="s">
        <v>130</v>
      </c>
      <c r="D252" s="65" t="s">
        <v>134</v>
      </c>
      <c r="E252" s="65" t="s">
        <v>133</v>
      </c>
    </row>
    <row r="253" spans="1:5" x14ac:dyDescent="0.45">
      <c r="A253">
        <v>20150208</v>
      </c>
      <c r="B253" s="65" t="s">
        <v>133</v>
      </c>
      <c r="C253" s="65" t="s">
        <v>130</v>
      </c>
      <c r="D253" s="65" t="s">
        <v>134</v>
      </c>
      <c r="E253" s="65" t="s">
        <v>133</v>
      </c>
    </row>
    <row r="254" spans="1:5" x14ac:dyDescent="0.45">
      <c r="A254">
        <v>20150214</v>
      </c>
      <c r="B254" s="65" t="s">
        <v>133</v>
      </c>
      <c r="C254" s="65" t="s">
        <v>130</v>
      </c>
      <c r="D254" s="65" t="s">
        <v>134</v>
      </c>
      <c r="E254" s="65" t="s">
        <v>133</v>
      </c>
    </row>
    <row r="255" spans="1:5" x14ac:dyDescent="0.45">
      <c r="A255">
        <v>20150215</v>
      </c>
      <c r="B255" s="65" t="s">
        <v>133</v>
      </c>
      <c r="C255" s="65" t="s">
        <v>130</v>
      </c>
      <c r="D255" s="65" t="s">
        <v>134</v>
      </c>
      <c r="E255" s="65" t="s">
        <v>133</v>
      </c>
    </row>
    <row r="256" spans="1:5" x14ac:dyDescent="0.45">
      <c r="A256">
        <v>20150218</v>
      </c>
      <c r="B256" s="65" t="s">
        <v>135</v>
      </c>
      <c r="C256" s="65" t="s">
        <v>130</v>
      </c>
      <c r="D256" s="65" t="s">
        <v>131</v>
      </c>
      <c r="E256" s="65" t="s">
        <v>132</v>
      </c>
    </row>
    <row r="257" spans="1:5" x14ac:dyDescent="0.45">
      <c r="A257">
        <v>20150219</v>
      </c>
      <c r="B257" s="65" t="s">
        <v>137</v>
      </c>
      <c r="C257" s="65" t="s">
        <v>130</v>
      </c>
      <c r="D257" s="65" t="s">
        <v>131</v>
      </c>
      <c r="E257" s="65" t="s">
        <v>167</v>
      </c>
    </row>
    <row r="258" spans="1:5" x14ac:dyDescent="0.45">
      <c r="A258">
        <v>20150220</v>
      </c>
      <c r="B258" s="65" t="s">
        <v>137</v>
      </c>
      <c r="C258" s="65" t="s">
        <v>130</v>
      </c>
      <c r="D258" s="65" t="s">
        <v>131</v>
      </c>
      <c r="E258" s="65" t="s">
        <v>167</v>
      </c>
    </row>
    <row r="259" spans="1:5" x14ac:dyDescent="0.45">
      <c r="A259">
        <v>20150221</v>
      </c>
      <c r="B259" s="65" t="s">
        <v>137</v>
      </c>
      <c r="C259" s="65" t="s">
        <v>130</v>
      </c>
      <c r="D259" s="65" t="s">
        <v>131</v>
      </c>
      <c r="E259" s="65" t="s">
        <v>167</v>
      </c>
    </row>
    <row r="260" spans="1:5" x14ac:dyDescent="0.45">
      <c r="A260">
        <v>20150222</v>
      </c>
      <c r="B260" s="65" t="s">
        <v>133</v>
      </c>
      <c r="C260" s="65" t="s">
        <v>130</v>
      </c>
      <c r="D260" s="65" t="s">
        <v>134</v>
      </c>
      <c r="E260" s="65" t="s">
        <v>133</v>
      </c>
    </row>
    <row r="261" spans="1:5" x14ac:dyDescent="0.45">
      <c r="A261">
        <v>20150223</v>
      </c>
      <c r="B261" s="65" t="s">
        <v>133</v>
      </c>
      <c r="C261" s="65" t="s">
        <v>130</v>
      </c>
      <c r="D261" s="65" t="s">
        <v>139</v>
      </c>
      <c r="E261" s="65" t="s">
        <v>133</v>
      </c>
    </row>
    <row r="262" spans="1:5" x14ac:dyDescent="0.45">
      <c r="A262">
        <v>20150227</v>
      </c>
      <c r="B262" s="65" t="s">
        <v>133</v>
      </c>
      <c r="C262" s="65" t="s">
        <v>130</v>
      </c>
      <c r="D262" s="65" t="s">
        <v>139</v>
      </c>
      <c r="E262" s="65" t="s">
        <v>133</v>
      </c>
    </row>
    <row r="263" spans="1:5" x14ac:dyDescent="0.45">
      <c r="A263">
        <v>20150228</v>
      </c>
      <c r="B263" s="65" t="s">
        <v>145</v>
      </c>
      <c r="C263" s="65" t="s">
        <v>130</v>
      </c>
      <c r="D263" s="65" t="s">
        <v>131</v>
      </c>
      <c r="E263" s="65" t="s">
        <v>168</v>
      </c>
    </row>
    <row r="264" spans="1:5" x14ac:dyDescent="0.45">
      <c r="A264">
        <v>20150301</v>
      </c>
      <c r="B264" s="65" t="s">
        <v>133</v>
      </c>
      <c r="C264" s="65" t="s">
        <v>130</v>
      </c>
      <c r="D264" s="65" t="s">
        <v>134</v>
      </c>
      <c r="E264" s="65" t="s">
        <v>133</v>
      </c>
    </row>
    <row r="265" spans="1:5" x14ac:dyDescent="0.45">
      <c r="A265">
        <v>20150307</v>
      </c>
      <c r="B265" s="65" t="s">
        <v>133</v>
      </c>
      <c r="C265" s="65" t="s">
        <v>130</v>
      </c>
      <c r="D265" s="65" t="s">
        <v>134</v>
      </c>
      <c r="E265" s="65" t="s">
        <v>133</v>
      </c>
    </row>
    <row r="266" spans="1:5" x14ac:dyDescent="0.45">
      <c r="A266">
        <v>20150308</v>
      </c>
      <c r="B266" s="65" t="s">
        <v>133</v>
      </c>
      <c r="C266" s="65" t="s">
        <v>130</v>
      </c>
      <c r="D266" s="65" t="s">
        <v>134</v>
      </c>
      <c r="E266" s="65" t="s">
        <v>133</v>
      </c>
    </row>
    <row r="267" spans="1:5" x14ac:dyDescent="0.45">
      <c r="A267">
        <v>20150314</v>
      </c>
      <c r="B267" s="65" t="s">
        <v>133</v>
      </c>
      <c r="C267" s="65" t="s">
        <v>130</v>
      </c>
      <c r="D267" s="65" t="s">
        <v>134</v>
      </c>
      <c r="E267" s="65" t="s">
        <v>133</v>
      </c>
    </row>
    <row r="268" spans="1:5" x14ac:dyDescent="0.45">
      <c r="A268">
        <v>20150315</v>
      </c>
      <c r="B268" s="65" t="s">
        <v>133</v>
      </c>
      <c r="C268" s="65" t="s">
        <v>130</v>
      </c>
      <c r="D268" s="65" t="s">
        <v>134</v>
      </c>
      <c r="E268" s="65" t="s">
        <v>133</v>
      </c>
    </row>
    <row r="269" spans="1:5" x14ac:dyDescent="0.45">
      <c r="A269">
        <v>20150321</v>
      </c>
      <c r="B269" s="65" t="s">
        <v>133</v>
      </c>
      <c r="C269" s="65" t="s">
        <v>130</v>
      </c>
      <c r="D269" s="65" t="s">
        <v>134</v>
      </c>
      <c r="E269" s="65" t="s">
        <v>133</v>
      </c>
    </row>
    <row r="270" spans="1:5" x14ac:dyDescent="0.45">
      <c r="A270">
        <v>20150322</v>
      </c>
      <c r="B270" s="65" t="s">
        <v>133</v>
      </c>
      <c r="C270" s="65" t="s">
        <v>130</v>
      </c>
      <c r="D270" s="65" t="s">
        <v>134</v>
      </c>
      <c r="E270" s="65" t="s">
        <v>133</v>
      </c>
    </row>
    <row r="271" spans="1:5" x14ac:dyDescent="0.45">
      <c r="A271">
        <v>20150328</v>
      </c>
      <c r="B271" s="65" t="s">
        <v>133</v>
      </c>
      <c r="C271" s="65" t="s">
        <v>130</v>
      </c>
      <c r="D271" s="65" t="s">
        <v>134</v>
      </c>
      <c r="E271" s="65" t="s">
        <v>133</v>
      </c>
    </row>
    <row r="272" spans="1:5" x14ac:dyDescent="0.45">
      <c r="A272">
        <v>20150329</v>
      </c>
      <c r="B272" s="65" t="s">
        <v>133</v>
      </c>
      <c r="C272" s="65" t="s">
        <v>130</v>
      </c>
      <c r="D272" s="65" t="s">
        <v>134</v>
      </c>
      <c r="E272" s="65" t="s">
        <v>133</v>
      </c>
    </row>
    <row r="273" spans="1:5" x14ac:dyDescent="0.45">
      <c r="A273">
        <v>20150403</v>
      </c>
      <c r="B273" s="65" t="s">
        <v>133</v>
      </c>
      <c r="C273" s="65" t="s">
        <v>130</v>
      </c>
      <c r="D273" s="65" t="s">
        <v>139</v>
      </c>
      <c r="E273" s="65" t="s">
        <v>133</v>
      </c>
    </row>
    <row r="274" spans="1:5" x14ac:dyDescent="0.45">
      <c r="A274">
        <v>20150404</v>
      </c>
      <c r="B274" s="65" t="s">
        <v>164</v>
      </c>
      <c r="C274" s="65" t="s">
        <v>130</v>
      </c>
      <c r="D274" s="65" t="s">
        <v>131</v>
      </c>
      <c r="E274" s="65" t="s">
        <v>169</v>
      </c>
    </row>
    <row r="275" spans="1:5" x14ac:dyDescent="0.45">
      <c r="A275">
        <v>20150405</v>
      </c>
      <c r="B275" s="65" t="s">
        <v>165</v>
      </c>
      <c r="C275" s="65" t="s">
        <v>130</v>
      </c>
      <c r="D275" s="65" t="s">
        <v>131</v>
      </c>
      <c r="E275" s="65" t="s">
        <v>170</v>
      </c>
    </row>
    <row r="276" spans="1:5" x14ac:dyDescent="0.45">
      <c r="A276">
        <v>20150406</v>
      </c>
      <c r="B276" s="65" t="s">
        <v>133</v>
      </c>
      <c r="C276" s="65" t="s">
        <v>130</v>
      </c>
      <c r="D276" s="65" t="s">
        <v>139</v>
      </c>
      <c r="E276" s="65" t="s">
        <v>133</v>
      </c>
    </row>
    <row r="277" spans="1:5" x14ac:dyDescent="0.45">
      <c r="A277">
        <v>20150411</v>
      </c>
      <c r="B277" s="65" t="s">
        <v>133</v>
      </c>
      <c r="C277" s="65" t="s">
        <v>130</v>
      </c>
      <c r="D277" s="65" t="s">
        <v>134</v>
      </c>
      <c r="E277" s="65" t="s">
        <v>133</v>
      </c>
    </row>
    <row r="278" spans="1:5" x14ac:dyDescent="0.45">
      <c r="A278">
        <v>20150412</v>
      </c>
      <c r="B278" s="65" t="s">
        <v>133</v>
      </c>
      <c r="C278" s="65" t="s">
        <v>130</v>
      </c>
      <c r="D278" s="65" t="s">
        <v>134</v>
      </c>
      <c r="E278" s="65" t="s">
        <v>133</v>
      </c>
    </row>
    <row r="279" spans="1:5" x14ac:dyDescent="0.45">
      <c r="A279">
        <v>20150418</v>
      </c>
      <c r="B279" s="65" t="s">
        <v>133</v>
      </c>
      <c r="C279" s="65" t="s">
        <v>130</v>
      </c>
      <c r="D279" s="65" t="s">
        <v>134</v>
      </c>
      <c r="E279" s="65" t="s">
        <v>133</v>
      </c>
    </row>
    <row r="280" spans="1:5" x14ac:dyDescent="0.45">
      <c r="A280">
        <v>20150419</v>
      </c>
      <c r="B280" s="65" t="s">
        <v>133</v>
      </c>
      <c r="C280" s="65" t="s">
        <v>130</v>
      </c>
      <c r="D280" s="65" t="s">
        <v>134</v>
      </c>
      <c r="E280" s="65" t="s">
        <v>133</v>
      </c>
    </row>
    <row r="281" spans="1:5" x14ac:dyDescent="0.45">
      <c r="A281">
        <v>20150425</v>
      </c>
      <c r="B281" s="65" t="s">
        <v>133</v>
      </c>
      <c r="C281" s="65" t="s">
        <v>130</v>
      </c>
      <c r="D281" s="65" t="s">
        <v>134</v>
      </c>
      <c r="E281" s="65" t="s">
        <v>133</v>
      </c>
    </row>
    <row r="282" spans="1:5" x14ac:dyDescent="0.45">
      <c r="A282">
        <v>20150426</v>
      </c>
      <c r="B282" s="65" t="s">
        <v>133</v>
      </c>
      <c r="C282" s="65" t="s">
        <v>130</v>
      </c>
      <c r="D282" s="65" t="s">
        <v>134</v>
      </c>
      <c r="E282" s="65" t="s">
        <v>133</v>
      </c>
    </row>
    <row r="283" spans="1:5" x14ac:dyDescent="0.45">
      <c r="A283">
        <v>20150502</v>
      </c>
      <c r="B283" s="65" t="s">
        <v>133</v>
      </c>
      <c r="C283" s="65" t="s">
        <v>130</v>
      </c>
      <c r="D283" s="65" t="s">
        <v>134</v>
      </c>
      <c r="E283" s="65" t="s">
        <v>133</v>
      </c>
    </row>
    <row r="284" spans="1:5" x14ac:dyDescent="0.45">
      <c r="A284">
        <v>20150503</v>
      </c>
      <c r="B284" s="65" t="s">
        <v>133</v>
      </c>
      <c r="C284" s="65" t="s">
        <v>130</v>
      </c>
      <c r="D284" s="65" t="s">
        <v>134</v>
      </c>
      <c r="E284" s="65" t="s">
        <v>133</v>
      </c>
    </row>
    <row r="285" spans="1:5" x14ac:dyDescent="0.45">
      <c r="A285">
        <v>20150509</v>
      </c>
      <c r="B285" s="65" t="s">
        <v>133</v>
      </c>
      <c r="C285" s="65" t="s">
        <v>130</v>
      </c>
      <c r="D285" s="65" t="s">
        <v>134</v>
      </c>
      <c r="E285" s="65" t="s">
        <v>133</v>
      </c>
    </row>
    <row r="286" spans="1:5" x14ac:dyDescent="0.45">
      <c r="A286">
        <v>20150510</v>
      </c>
      <c r="B286" s="65" t="s">
        <v>133</v>
      </c>
      <c r="C286" s="65" t="s">
        <v>130</v>
      </c>
      <c r="D286" s="65" t="s">
        <v>134</v>
      </c>
      <c r="E286" s="65" t="s">
        <v>133</v>
      </c>
    </row>
    <row r="287" spans="1:5" x14ac:dyDescent="0.45">
      <c r="A287">
        <v>20150516</v>
      </c>
      <c r="B287" s="65" t="s">
        <v>133</v>
      </c>
      <c r="C287" s="65" t="s">
        <v>130</v>
      </c>
      <c r="D287" s="65" t="s">
        <v>134</v>
      </c>
      <c r="E287" s="65" t="s">
        <v>133</v>
      </c>
    </row>
    <row r="288" spans="1:5" x14ac:dyDescent="0.45">
      <c r="A288">
        <v>20150517</v>
      </c>
      <c r="B288" s="65" t="s">
        <v>133</v>
      </c>
      <c r="C288" s="65" t="s">
        <v>130</v>
      </c>
      <c r="D288" s="65" t="s">
        <v>134</v>
      </c>
      <c r="E288" s="65" t="s">
        <v>133</v>
      </c>
    </row>
    <row r="289" spans="1:5" x14ac:dyDescent="0.45">
      <c r="A289">
        <v>20150523</v>
      </c>
      <c r="B289" s="65" t="s">
        <v>133</v>
      </c>
      <c r="C289" s="65" t="s">
        <v>130</v>
      </c>
      <c r="D289" s="65" t="s">
        <v>134</v>
      </c>
      <c r="E289" s="65" t="s">
        <v>133</v>
      </c>
    </row>
    <row r="290" spans="1:5" x14ac:dyDescent="0.45">
      <c r="A290">
        <v>20150524</v>
      </c>
      <c r="B290" s="65" t="s">
        <v>133</v>
      </c>
      <c r="C290" s="65" t="s">
        <v>130</v>
      </c>
      <c r="D290" s="65" t="s">
        <v>134</v>
      </c>
      <c r="E290" s="65" t="s">
        <v>133</v>
      </c>
    </row>
    <row r="291" spans="1:5" x14ac:dyDescent="0.45">
      <c r="A291">
        <v>20150530</v>
      </c>
      <c r="B291" s="65" t="s">
        <v>133</v>
      </c>
      <c r="C291" s="65" t="s">
        <v>130</v>
      </c>
      <c r="D291" s="65" t="s">
        <v>134</v>
      </c>
      <c r="E291" s="65" t="s">
        <v>133</v>
      </c>
    </row>
    <row r="292" spans="1:5" x14ac:dyDescent="0.45">
      <c r="A292">
        <v>20150531</v>
      </c>
      <c r="B292" s="65" t="s">
        <v>133</v>
      </c>
      <c r="C292" s="65" t="s">
        <v>130</v>
      </c>
      <c r="D292" s="65" t="s">
        <v>134</v>
      </c>
      <c r="E292" s="65" t="s">
        <v>133</v>
      </c>
    </row>
    <row r="293" spans="1:5" x14ac:dyDescent="0.45">
      <c r="A293">
        <v>20150606</v>
      </c>
      <c r="B293" s="65" t="s">
        <v>133</v>
      </c>
      <c r="C293" s="65" t="s">
        <v>130</v>
      </c>
      <c r="D293" s="65" t="s">
        <v>134</v>
      </c>
      <c r="E293" s="65" t="s">
        <v>133</v>
      </c>
    </row>
    <row r="294" spans="1:5" x14ac:dyDescent="0.45">
      <c r="A294">
        <v>20150607</v>
      </c>
      <c r="B294" s="65" t="s">
        <v>133</v>
      </c>
      <c r="C294" s="65" t="s">
        <v>130</v>
      </c>
      <c r="D294" s="65" t="s">
        <v>134</v>
      </c>
      <c r="E294" s="65" t="s">
        <v>133</v>
      </c>
    </row>
    <row r="295" spans="1:5" x14ac:dyDescent="0.45">
      <c r="A295">
        <v>20150613</v>
      </c>
      <c r="B295" s="65" t="s">
        <v>133</v>
      </c>
      <c r="C295" s="65" t="s">
        <v>130</v>
      </c>
      <c r="D295" s="65" t="s">
        <v>134</v>
      </c>
      <c r="E295" s="65" t="s">
        <v>133</v>
      </c>
    </row>
    <row r="296" spans="1:5" x14ac:dyDescent="0.45">
      <c r="A296">
        <v>20150614</v>
      </c>
      <c r="B296" s="65" t="s">
        <v>133</v>
      </c>
      <c r="C296" s="65" t="s">
        <v>130</v>
      </c>
      <c r="D296" s="65" t="s">
        <v>134</v>
      </c>
      <c r="E296" s="65" t="s">
        <v>133</v>
      </c>
    </row>
    <row r="297" spans="1:5" x14ac:dyDescent="0.45">
      <c r="A297">
        <v>20150619</v>
      </c>
      <c r="B297" s="65" t="s">
        <v>133</v>
      </c>
      <c r="C297" s="65" t="s">
        <v>130</v>
      </c>
      <c r="D297" s="65" t="s">
        <v>139</v>
      </c>
      <c r="E297" s="65" t="s">
        <v>133</v>
      </c>
    </row>
    <row r="298" spans="1:5" x14ac:dyDescent="0.45">
      <c r="A298">
        <v>20150620</v>
      </c>
      <c r="B298" s="65" t="s">
        <v>153</v>
      </c>
      <c r="C298" s="65" t="s">
        <v>130</v>
      </c>
      <c r="D298" s="65" t="s">
        <v>131</v>
      </c>
      <c r="E298" s="65" t="s">
        <v>171</v>
      </c>
    </row>
    <row r="299" spans="1:5" x14ac:dyDescent="0.45">
      <c r="A299">
        <v>20150621</v>
      </c>
      <c r="B299" s="65" t="s">
        <v>133</v>
      </c>
      <c r="C299" s="65" t="s">
        <v>130</v>
      </c>
      <c r="D299" s="65" t="s">
        <v>134</v>
      </c>
      <c r="E299" s="65" t="s">
        <v>133</v>
      </c>
    </row>
    <row r="300" spans="1:5" x14ac:dyDescent="0.45">
      <c r="A300">
        <v>20150627</v>
      </c>
      <c r="B300" s="65" t="s">
        <v>133</v>
      </c>
      <c r="C300" s="65" t="s">
        <v>130</v>
      </c>
      <c r="D300" s="65" t="s">
        <v>134</v>
      </c>
      <c r="E300" s="65" t="s">
        <v>133</v>
      </c>
    </row>
    <row r="301" spans="1:5" x14ac:dyDescent="0.45">
      <c r="A301">
        <v>20150628</v>
      </c>
      <c r="B301" s="65" t="s">
        <v>133</v>
      </c>
      <c r="C301" s="65" t="s">
        <v>130</v>
      </c>
      <c r="D301" s="65" t="s">
        <v>134</v>
      </c>
      <c r="E301" s="65" t="s">
        <v>133</v>
      </c>
    </row>
    <row r="302" spans="1:5" x14ac:dyDescent="0.45">
      <c r="A302">
        <v>20150704</v>
      </c>
      <c r="B302" s="65" t="s">
        <v>133</v>
      </c>
      <c r="C302" s="65" t="s">
        <v>130</v>
      </c>
      <c r="D302" s="65" t="s">
        <v>134</v>
      </c>
      <c r="E302" s="65" t="s">
        <v>133</v>
      </c>
    </row>
    <row r="303" spans="1:5" x14ac:dyDescent="0.45">
      <c r="A303">
        <v>20150705</v>
      </c>
      <c r="B303" s="65" t="s">
        <v>133</v>
      </c>
      <c r="C303" s="65" t="s">
        <v>130</v>
      </c>
      <c r="D303" s="65" t="s">
        <v>134</v>
      </c>
      <c r="E303" s="65" t="s">
        <v>133</v>
      </c>
    </row>
    <row r="304" spans="1:5" x14ac:dyDescent="0.45">
      <c r="A304">
        <v>20150711</v>
      </c>
      <c r="B304" s="65" t="s">
        <v>133</v>
      </c>
      <c r="C304" s="65" t="s">
        <v>130</v>
      </c>
      <c r="D304" s="65" t="s">
        <v>134</v>
      </c>
      <c r="E304" s="65" t="s">
        <v>133</v>
      </c>
    </row>
    <row r="305" spans="1:5" x14ac:dyDescent="0.45">
      <c r="A305">
        <v>20150712</v>
      </c>
      <c r="B305" s="65" t="s">
        <v>133</v>
      </c>
      <c r="C305" s="65" t="s">
        <v>130</v>
      </c>
      <c r="D305" s="65" t="s">
        <v>134</v>
      </c>
      <c r="E305" s="65" t="s">
        <v>133</v>
      </c>
    </row>
    <row r="306" spans="1:5" x14ac:dyDescent="0.45">
      <c r="A306">
        <v>20150718</v>
      </c>
      <c r="B306" s="65" t="s">
        <v>133</v>
      </c>
      <c r="C306" s="65" t="s">
        <v>130</v>
      </c>
      <c r="D306" s="65" t="s">
        <v>134</v>
      </c>
      <c r="E306" s="65" t="s">
        <v>133</v>
      </c>
    </row>
    <row r="307" spans="1:5" x14ac:dyDescent="0.45">
      <c r="A307">
        <v>20150719</v>
      </c>
      <c r="B307" s="65" t="s">
        <v>133</v>
      </c>
      <c r="C307" s="65" t="s">
        <v>130</v>
      </c>
      <c r="D307" s="65" t="s">
        <v>134</v>
      </c>
      <c r="E307" s="65" t="s">
        <v>133</v>
      </c>
    </row>
    <row r="308" spans="1:5" x14ac:dyDescent="0.45">
      <c r="A308">
        <v>20150725</v>
      </c>
      <c r="B308" s="65" t="s">
        <v>133</v>
      </c>
      <c r="C308" s="65" t="s">
        <v>130</v>
      </c>
      <c r="D308" s="65" t="s">
        <v>134</v>
      </c>
      <c r="E308" s="65" t="s">
        <v>133</v>
      </c>
    </row>
    <row r="309" spans="1:5" x14ac:dyDescent="0.45">
      <c r="A309">
        <v>20150726</v>
      </c>
      <c r="B309" s="65" t="s">
        <v>133</v>
      </c>
      <c r="C309" s="65" t="s">
        <v>130</v>
      </c>
      <c r="D309" s="65" t="s">
        <v>134</v>
      </c>
      <c r="E309" s="65" t="s">
        <v>133</v>
      </c>
    </row>
    <row r="310" spans="1:5" x14ac:dyDescent="0.45">
      <c r="A310">
        <v>20150801</v>
      </c>
      <c r="B310" s="65" t="s">
        <v>133</v>
      </c>
      <c r="C310" s="65" t="s">
        <v>130</v>
      </c>
      <c r="D310" s="65" t="s">
        <v>134</v>
      </c>
      <c r="E310" s="65" t="s">
        <v>133</v>
      </c>
    </row>
    <row r="311" spans="1:5" x14ac:dyDescent="0.45">
      <c r="A311">
        <v>20150802</v>
      </c>
      <c r="B311" s="65" t="s">
        <v>133</v>
      </c>
      <c r="C311" s="65" t="s">
        <v>130</v>
      </c>
      <c r="D311" s="65" t="s">
        <v>134</v>
      </c>
      <c r="E311" s="65" t="s">
        <v>133</v>
      </c>
    </row>
    <row r="312" spans="1:5" x14ac:dyDescent="0.45">
      <c r="A312">
        <v>20150808</v>
      </c>
      <c r="B312" s="65" t="s">
        <v>133</v>
      </c>
      <c r="C312" s="65" t="s">
        <v>130</v>
      </c>
      <c r="D312" s="65" t="s">
        <v>134</v>
      </c>
      <c r="E312" s="65" t="s">
        <v>133</v>
      </c>
    </row>
    <row r="313" spans="1:5" x14ac:dyDescent="0.45">
      <c r="A313">
        <v>20150809</v>
      </c>
      <c r="B313" s="65" t="s">
        <v>133</v>
      </c>
      <c r="C313" s="65" t="s">
        <v>130</v>
      </c>
      <c r="D313" s="65" t="s">
        <v>134</v>
      </c>
      <c r="E313" s="65" t="s">
        <v>133</v>
      </c>
    </row>
    <row r="314" spans="1:5" x14ac:dyDescent="0.45">
      <c r="A314">
        <v>20150815</v>
      </c>
      <c r="B314" s="65" t="s">
        <v>133</v>
      </c>
      <c r="C314" s="65" t="s">
        <v>130</v>
      </c>
      <c r="D314" s="65" t="s">
        <v>134</v>
      </c>
      <c r="E314" s="65" t="s">
        <v>133</v>
      </c>
    </row>
    <row r="315" spans="1:5" x14ac:dyDescent="0.45">
      <c r="A315">
        <v>20150816</v>
      </c>
      <c r="B315" s="65" t="s">
        <v>133</v>
      </c>
      <c r="C315" s="65" t="s">
        <v>130</v>
      </c>
      <c r="D315" s="65" t="s">
        <v>134</v>
      </c>
      <c r="E315" s="65" t="s">
        <v>133</v>
      </c>
    </row>
    <row r="316" spans="1:5" x14ac:dyDescent="0.45">
      <c r="A316">
        <v>20150822</v>
      </c>
      <c r="B316" s="65" t="s">
        <v>133</v>
      </c>
      <c r="C316" s="65" t="s">
        <v>130</v>
      </c>
      <c r="D316" s="65" t="s">
        <v>134</v>
      </c>
      <c r="E316" s="65" t="s">
        <v>133</v>
      </c>
    </row>
    <row r="317" spans="1:5" x14ac:dyDescent="0.45">
      <c r="A317">
        <v>20150823</v>
      </c>
      <c r="B317" s="65" t="s">
        <v>133</v>
      </c>
      <c r="C317" s="65" t="s">
        <v>130</v>
      </c>
      <c r="D317" s="65" t="s">
        <v>134</v>
      </c>
      <c r="E317" s="65" t="s">
        <v>133</v>
      </c>
    </row>
    <row r="318" spans="1:5" x14ac:dyDescent="0.45">
      <c r="A318">
        <v>20150829</v>
      </c>
      <c r="B318" s="65" t="s">
        <v>133</v>
      </c>
      <c r="C318" s="65" t="s">
        <v>130</v>
      </c>
      <c r="D318" s="65" t="s">
        <v>134</v>
      </c>
      <c r="E318" s="65" t="s">
        <v>133</v>
      </c>
    </row>
    <row r="319" spans="1:5" x14ac:dyDescent="0.45">
      <c r="A319">
        <v>20150830</v>
      </c>
      <c r="B319" s="65" t="s">
        <v>133</v>
      </c>
      <c r="C319" s="65" t="s">
        <v>130</v>
      </c>
      <c r="D319" s="65" t="s">
        <v>134</v>
      </c>
      <c r="E319" s="65" t="s">
        <v>133</v>
      </c>
    </row>
    <row r="320" spans="1:5" x14ac:dyDescent="0.45">
      <c r="A320">
        <v>20150905</v>
      </c>
      <c r="B320" s="65" t="s">
        <v>133</v>
      </c>
      <c r="C320" s="65" t="s">
        <v>130</v>
      </c>
      <c r="D320" s="65" t="s">
        <v>134</v>
      </c>
      <c r="E320" s="65" t="s">
        <v>133</v>
      </c>
    </row>
    <row r="321" spans="1:5" x14ac:dyDescent="0.45">
      <c r="A321">
        <v>20150906</v>
      </c>
      <c r="B321" s="65" t="s">
        <v>133</v>
      </c>
      <c r="C321" s="65" t="s">
        <v>130</v>
      </c>
      <c r="D321" s="65" t="s">
        <v>134</v>
      </c>
      <c r="E321" s="65" t="s">
        <v>133</v>
      </c>
    </row>
    <row r="322" spans="1:5" x14ac:dyDescent="0.45">
      <c r="A322">
        <v>20150912</v>
      </c>
      <c r="B322" s="65" t="s">
        <v>133</v>
      </c>
      <c r="C322" s="65" t="s">
        <v>130</v>
      </c>
      <c r="D322" s="65" t="s">
        <v>134</v>
      </c>
      <c r="E322" s="65" t="s">
        <v>133</v>
      </c>
    </row>
    <row r="323" spans="1:5" x14ac:dyDescent="0.45">
      <c r="A323">
        <v>20150913</v>
      </c>
      <c r="B323" s="65" t="s">
        <v>133</v>
      </c>
      <c r="C323" s="65" t="s">
        <v>130</v>
      </c>
      <c r="D323" s="65" t="s">
        <v>134</v>
      </c>
      <c r="E323" s="65" t="s">
        <v>133</v>
      </c>
    </row>
    <row r="324" spans="1:5" x14ac:dyDescent="0.45">
      <c r="A324">
        <v>20150919</v>
      </c>
      <c r="B324" s="65" t="s">
        <v>133</v>
      </c>
      <c r="C324" s="65" t="s">
        <v>130</v>
      </c>
      <c r="D324" s="65" t="s">
        <v>134</v>
      </c>
      <c r="E324" s="65" t="s">
        <v>133</v>
      </c>
    </row>
    <row r="325" spans="1:5" x14ac:dyDescent="0.45">
      <c r="A325">
        <v>20150920</v>
      </c>
      <c r="B325" s="65" t="s">
        <v>133</v>
      </c>
      <c r="C325" s="65" t="s">
        <v>130</v>
      </c>
      <c r="D325" s="65" t="s">
        <v>134</v>
      </c>
      <c r="E325" s="65" t="s">
        <v>133</v>
      </c>
    </row>
    <row r="326" spans="1:5" x14ac:dyDescent="0.45">
      <c r="A326">
        <v>20150926</v>
      </c>
      <c r="B326" s="65" t="s">
        <v>133</v>
      </c>
      <c r="C326" s="65" t="s">
        <v>130</v>
      </c>
      <c r="D326" s="65" t="s">
        <v>134</v>
      </c>
      <c r="E326" s="65" t="s">
        <v>133</v>
      </c>
    </row>
    <row r="327" spans="1:5" x14ac:dyDescent="0.45">
      <c r="A327">
        <v>20150927</v>
      </c>
      <c r="B327" s="65" t="s">
        <v>154</v>
      </c>
      <c r="C327" s="65" t="s">
        <v>130</v>
      </c>
      <c r="D327" s="65" t="s">
        <v>131</v>
      </c>
      <c r="E327" s="65" t="s">
        <v>172</v>
      </c>
    </row>
    <row r="328" spans="1:5" x14ac:dyDescent="0.45">
      <c r="A328">
        <v>20150928</v>
      </c>
      <c r="B328" s="65" t="s">
        <v>133</v>
      </c>
      <c r="C328" s="65" t="s">
        <v>130</v>
      </c>
      <c r="D328" s="65" t="s">
        <v>139</v>
      </c>
      <c r="E328" s="65" t="s">
        <v>133</v>
      </c>
    </row>
    <row r="329" spans="1:5" x14ac:dyDescent="0.45">
      <c r="A329">
        <v>20151003</v>
      </c>
      <c r="B329" s="65" t="s">
        <v>133</v>
      </c>
      <c r="C329" s="65" t="s">
        <v>130</v>
      </c>
      <c r="D329" s="65" t="s">
        <v>134</v>
      </c>
      <c r="E329" s="65" t="s">
        <v>133</v>
      </c>
    </row>
    <row r="330" spans="1:5" x14ac:dyDescent="0.45">
      <c r="A330">
        <v>20151004</v>
      </c>
      <c r="B330" s="65" t="s">
        <v>133</v>
      </c>
      <c r="C330" s="65" t="s">
        <v>130</v>
      </c>
      <c r="D330" s="65" t="s">
        <v>134</v>
      </c>
      <c r="E330" s="65" t="s">
        <v>133</v>
      </c>
    </row>
    <row r="331" spans="1:5" x14ac:dyDescent="0.45">
      <c r="A331">
        <v>20151009</v>
      </c>
      <c r="B331" s="65" t="s">
        <v>133</v>
      </c>
      <c r="C331" s="65" t="s">
        <v>130</v>
      </c>
      <c r="D331" s="65" t="s">
        <v>139</v>
      </c>
      <c r="E331" s="65" t="s">
        <v>133</v>
      </c>
    </row>
    <row r="332" spans="1:5" x14ac:dyDescent="0.45">
      <c r="A332">
        <v>20151010</v>
      </c>
      <c r="B332" s="65" t="s">
        <v>158</v>
      </c>
      <c r="C332" s="65" t="s">
        <v>130</v>
      </c>
      <c r="D332" s="65" t="s">
        <v>131</v>
      </c>
      <c r="E332" s="65" t="s">
        <v>173</v>
      </c>
    </row>
    <row r="333" spans="1:5" x14ac:dyDescent="0.45">
      <c r="A333">
        <v>20151011</v>
      </c>
      <c r="B333" s="65" t="s">
        <v>133</v>
      </c>
      <c r="C333" s="65" t="s">
        <v>130</v>
      </c>
      <c r="D333" s="65" t="s">
        <v>134</v>
      </c>
      <c r="E333" s="65" t="s">
        <v>133</v>
      </c>
    </row>
    <row r="334" spans="1:5" x14ac:dyDescent="0.45">
      <c r="A334">
        <v>20151017</v>
      </c>
      <c r="B334" s="65" t="s">
        <v>133</v>
      </c>
      <c r="C334" s="65" t="s">
        <v>130</v>
      </c>
      <c r="D334" s="65" t="s">
        <v>134</v>
      </c>
      <c r="E334" s="65" t="s">
        <v>133</v>
      </c>
    </row>
    <row r="335" spans="1:5" x14ac:dyDescent="0.45">
      <c r="A335">
        <v>20151018</v>
      </c>
      <c r="B335" s="65" t="s">
        <v>133</v>
      </c>
      <c r="C335" s="65" t="s">
        <v>130</v>
      </c>
      <c r="D335" s="65" t="s">
        <v>134</v>
      </c>
      <c r="E335" s="65" t="s">
        <v>133</v>
      </c>
    </row>
    <row r="336" spans="1:5" x14ac:dyDescent="0.45">
      <c r="A336">
        <v>20151024</v>
      </c>
      <c r="B336" s="65" t="s">
        <v>133</v>
      </c>
      <c r="C336" s="65" t="s">
        <v>130</v>
      </c>
      <c r="D336" s="65" t="s">
        <v>134</v>
      </c>
      <c r="E336" s="65" t="s">
        <v>133</v>
      </c>
    </row>
    <row r="337" spans="1:5" x14ac:dyDescent="0.45">
      <c r="A337">
        <v>20151025</v>
      </c>
      <c r="B337" s="65" t="s">
        <v>133</v>
      </c>
      <c r="C337" s="65" t="s">
        <v>130</v>
      </c>
      <c r="D337" s="65" t="s">
        <v>134</v>
      </c>
      <c r="E337" s="65" t="s">
        <v>133</v>
      </c>
    </row>
    <row r="338" spans="1:5" x14ac:dyDescent="0.45">
      <c r="A338">
        <v>20151031</v>
      </c>
      <c r="B338" s="65" t="s">
        <v>133</v>
      </c>
      <c r="C338" s="65" t="s">
        <v>130</v>
      </c>
      <c r="D338" s="65" t="s">
        <v>134</v>
      </c>
      <c r="E338" s="65" t="s">
        <v>133</v>
      </c>
    </row>
    <row r="339" spans="1:5" x14ac:dyDescent="0.45">
      <c r="A339">
        <v>20151101</v>
      </c>
      <c r="B339" s="65" t="s">
        <v>133</v>
      </c>
      <c r="C339" s="65" t="s">
        <v>130</v>
      </c>
      <c r="D339" s="65" t="s">
        <v>134</v>
      </c>
      <c r="E339" s="65" t="s">
        <v>133</v>
      </c>
    </row>
    <row r="340" spans="1:5" x14ac:dyDescent="0.45">
      <c r="A340">
        <v>20151107</v>
      </c>
      <c r="B340" s="65" t="s">
        <v>133</v>
      </c>
      <c r="C340" s="65" t="s">
        <v>130</v>
      </c>
      <c r="D340" s="65" t="s">
        <v>134</v>
      </c>
      <c r="E340" s="65" t="s">
        <v>133</v>
      </c>
    </row>
    <row r="341" spans="1:5" x14ac:dyDescent="0.45">
      <c r="A341">
        <v>20151108</v>
      </c>
      <c r="B341" s="65" t="s">
        <v>133</v>
      </c>
      <c r="C341" s="65" t="s">
        <v>130</v>
      </c>
      <c r="D341" s="65" t="s">
        <v>134</v>
      </c>
      <c r="E341" s="65" t="s">
        <v>133</v>
      </c>
    </row>
    <row r="342" spans="1:5" x14ac:dyDescent="0.45">
      <c r="A342">
        <v>20151014</v>
      </c>
      <c r="B342" s="65" t="s">
        <v>133</v>
      </c>
      <c r="C342" s="65" t="s">
        <v>130</v>
      </c>
      <c r="D342" s="65" t="s">
        <v>134</v>
      </c>
      <c r="E342" s="65" t="s">
        <v>133</v>
      </c>
    </row>
    <row r="343" spans="1:5" x14ac:dyDescent="0.45">
      <c r="A343">
        <v>20151015</v>
      </c>
      <c r="B343" s="65" t="s">
        <v>133</v>
      </c>
      <c r="C343" s="65" t="s">
        <v>130</v>
      </c>
      <c r="D343" s="65" t="s">
        <v>134</v>
      </c>
      <c r="E343" s="65" t="s">
        <v>133</v>
      </c>
    </row>
    <row r="344" spans="1:5" x14ac:dyDescent="0.45">
      <c r="A344">
        <v>20151021</v>
      </c>
      <c r="B344" s="65" t="s">
        <v>133</v>
      </c>
      <c r="C344" s="65" t="s">
        <v>130</v>
      </c>
      <c r="D344" s="65" t="s">
        <v>134</v>
      </c>
      <c r="E344" s="65" t="s">
        <v>133</v>
      </c>
    </row>
    <row r="345" spans="1:5" x14ac:dyDescent="0.45">
      <c r="A345">
        <v>20151022</v>
      </c>
      <c r="B345" s="65" t="s">
        <v>133</v>
      </c>
      <c r="C345" s="65" t="s">
        <v>130</v>
      </c>
      <c r="D345" s="65" t="s">
        <v>134</v>
      </c>
      <c r="E345" s="65" t="s">
        <v>133</v>
      </c>
    </row>
    <row r="346" spans="1:5" x14ac:dyDescent="0.45">
      <c r="A346">
        <v>20151028</v>
      </c>
      <c r="B346" s="65" t="s">
        <v>133</v>
      </c>
      <c r="C346" s="65" t="s">
        <v>130</v>
      </c>
      <c r="D346" s="65" t="s">
        <v>134</v>
      </c>
      <c r="E346" s="65" t="s">
        <v>133</v>
      </c>
    </row>
    <row r="347" spans="1:5" x14ac:dyDescent="0.45">
      <c r="A347">
        <v>20151029</v>
      </c>
      <c r="B347" s="65" t="s">
        <v>133</v>
      </c>
      <c r="C347" s="65" t="s">
        <v>130</v>
      </c>
      <c r="D347" s="65" t="s">
        <v>134</v>
      </c>
      <c r="E347" s="65" t="s">
        <v>133</v>
      </c>
    </row>
    <row r="348" spans="1:5" x14ac:dyDescent="0.45">
      <c r="A348">
        <v>20151205</v>
      </c>
      <c r="B348" s="65" t="s">
        <v>133</v>
      </c>
      <c r="C348" s="65" t="s">
        <v>130</v>
      </c>
      <c r="D348" s="65" t="s">
        <v>134</v>
      </c>
      <c r="E348" s="65" t="s">
        <v>133</v>
      </c>
    </row>
    <row r="349" spans="1:5" x14ac:dyDescent="0.45">
      <c r="A349">
        <v>20151206</v>
      </c>
      <c r="B349" s="65" t="s">
        <v>133</v>
      </c>
      <c r="C349" s="65" t="s">
        <v>130</v>
      </c>
      <c r="D349" s="65" t="s">
        <v>134</v>
      </c>
      <c r="E349" s="65" t="s">
        <v>133</v>
      </c>
    </row>
    <row r="350" spans="1:5" x14ac:dyDescent="0.45">
      <c r="A350">
        <v>20151212</v>
      </c>
      <c r="B350" s="65" t="s">
        <v>133</v>
      </c>
      <c r="C350" s="65" t="s">
        <v>130</v>
      </c>
      <c r="D350" s="65" t="s">
        <v>134</v>
      </c>
      <c r="E350" s="65" t="s">
        <v>133</v>
      </c>
    </row>
    <row r="351" spans="1:5" x14ac:dyDescent="0.45">
      <c r="A351">
        <v>20151213</v>
      </c>
      <c r="B351" s="65" t="s">
        <v>133</v>
      </c>
      <c r="C351" s="65" t="s">
        <v>130</v>
      </c>
      <c r="D351" s="65" t="s">
        <v>134</v>
      </c>
      <c r="E351" s="65" t="s">
        <v>133</v>
      </c>
    </row>
    <row r="352" spans="1:5" x14ac:dyDescent="0.45">
      <c r="A352">
        <v>20151219</v>
      </c>
      <c r="B352" s="65" t="s">
        <v>133</v>
      </c>
      <c r="C352" s="65" t="s">
        <v>130</v>
      </c>
      <c r="D352" s="65" t="s">
        <v>134</v>
      </c>
      <c r="E352" s="65" t="s">
        <v>133</v>
      </c>
    </row>
    <row r="353" spans="1:5" x14ac:dyDescent="0.45">
      <c r="A353">
        <v>20151220</v>
      </c>
      <c r="B353" s="65" t="s">
        <v>133</v>
      </c>
      <c r="C353" s="65" t="s">
        <v>130</v>
      </c>
      <c r="D353" s="65" t="s">
        <v>134</v>
      </c>
      <c r="E353" s="65" t="s">
        <v>133</v>
      </c>
    </row>
    <row r="354" spans="1:5" x14ac:dyDescent="0.45">
      <c r="A354">
        <v>20151226</v>
      </c>
      <c r="B354" s="65" t="s">
        <v>133</v>
      </c>
      <c r="C354" s="65" t="s">
        <v>130</v>
      </c>
      <c r="D354" s="65" t="s">
        <v>134</v>
      </c>
      <c r="E354" s="65" t="s">
        <v>133</v>
      </c>
    </row>
    <row r="355" spans="1:5" x14ac:dyDescent="0.45">
      <c r="A355">
        <v>20151227</v>
      </c>
      <c r="B355" s="65" t="s">
        <v>133</v>
      </c>
      <c r="C355" s="65" t="s">
        <v>130</v>
      </c>
      <c r="D355" s="65" t="s">
        <v>134</v>
      </c>
      <c r="E355" s="65" t="s">
        <v>133</v>
      </c>
    </row>
    <row r="356" spans="1:5" x14ac:dyDescent="0.45">
      <c r="A356">
        <v>20160101</v>
      </c>
      <c r="B356" s="65" t="s">
        <v>129</v>
      </c>
      <c r="C356" s="65" t="s">
        <v>130</v>
      </c>
      <c r="D356" s="65" t="s">
        <v>131</v>
      </c>
      <c r="E356" s="65" t="s">
        <v>132</v>
      </c>
    </row>
    <row r="357" spans="1:5" x14ac:dyDescent="0.45">
      <c r="A357">
        <v>20160102</v>
      </c>
      <c r="B357" s="65" t="s">
        <v>133</v>
      </c>
      <c r="C357" s="65" t="s">
        <v>130</v>
      </c>
      <c r="D357" s="65" t="s">
        <v>134</v>
      </c>
      <c r="E357" s="65" t="s">
        <v>133</v>
      </c>
    </row>
    <row r="358" spans="1:5" x14ac:dyDescent="0.45">
      <c r="A358">
        <v>20160103</v>
      </c>
      <c r="B358" s="65" t="s">
        <v>133</v>
      </c>
      <c r="C358" s="65" t="s">
        <v>130</v>
      </c>
      <c r="D358" s="65" t="s">
        <v>134</v>
      </c>
      <c r="E358" s="65" t="s">
        <v>133</v>
      </c>
    </row>
    <row r="359" spans="1:5" x14ac:dyDescent="0.45">
      <c r="A359">
        <v>20160109</v>
      </c>
      <c r="B359" s="65" t="s">
        <v>133</v>
      </c>
      <c r="C359" s="65" t="s">
        <v>130</v>
      </c>
      <c r="D359" s="65" t="s">
        <v>134</v>
      </c>
      <c r="E359" s="65" t="s">
        <v>133</v>
      </c>
    </row>
    <row r="360" spans="1:5" x14ac:dyDescent="0.45">
      <c r="A360">
        <v>20160110</v>
      </c>
      <c r="B360" s="65" t="s">
        <v>133</v>
      </c>
      <c r="C360" s="65" t="s">
        <v>130</v>
      </c>
      <c r="D360" s="65" t="s">
        <v>134</v>
      </c>
      <c r="E360" s="65" t="s">
        <v>133</v>
      </c>
    </row>
    <row r="361" spans="1:5" x14ac:dyDescent="0.45">
      <c r="A361">
        <v>20160116</v>
      </c>
      <c r="B361" s="65" t="s">
        <v>133</v>
      </c>
      <c r="C361" s="65" t="s">
        <v>130</v>
      </c>
      <c r="D361" s="65" t="s">
        <v>134</v>
      </c>
      <c r="E361" s="65" t="s">
        <v>133</v>
      </c>
    </row>
    <row r="362" spans="1:5" x14ac:dyDescent="0.45">
      <c r="A362">
        <v>20160117</v>
      </c>
      <c r="B362" s="65" t="s">
        <v>133</v>
      </c>
      <c r="C362" s="65" t="s">
        <v>130</v>
      </c>
      <c r="D362" s="65" t="s">
        <v>134</v>
      </c>
      <c r="E362" s="65" t="s">
        <v>133</v>
      </c>
    </row>
    <row r="363" spans="1:5" x14ac:dyDescent="0.45">
      <c r="A363">
        <v>20160123</v>
      </c>
      <c r="B363" s="65" t="s">
        <v>133</v>
      </c>
      <c r="C363" s="65" t="s">
        <v>130</v>
      </c>
      <c r="D363" s="65" t="s">
        <v>134</v>
      </c>
      <c r="E363" s="65" t="s">
        <v>133</v>
      </c>
    </row>
    <row r="364" spans="1:5" x14ac:dyDescent="0.45">
      <c r="A364">
        <v>20160124</v>
      </c>
      <c r="B364" s="65" t="s">
        <v>133</v>
      </c>
      <c r="C364" s="65" t="s">
        <v>130</v>
      </c>
      <c r="D364" s="65" t="s">
        <v>134</v>
      </c>
      <c r="E364" s="65" t="s">
        <v>133</v>
      </c>
    </row>
    <row r="365" spans="1:5" x14ac:dyDescent="0.45">
      <c r="A365">
        <v>20160130</v>
      </c>
      <c r="B365" s="65" t="s">
        <v>133</v>
      </c>
      <c r="C365" s="65" t="s">
        <v>142</v>
      </c>
      <c r="D365" s="65" t="s">
        <v>143</v>
      </c>
      <c r="E365" s="65" t="s">
        <v>133</v>
      </c>
    </row>
    <row r="366" spans="1:5" x14ac:dyDescent="0.45">
      <c r="A366">
        <v>20160131</v>
      </c>
      <c r="B366" s="65" t="s">
        <v>133</v>
      </c>
      <c r="C366" s="65" t="s">
        <v>130</v>
      </c>
      <c r="D366" s="65" t="s">
        <v>134</v>
      </c>
      <c r="E366" s="65" t="s">
        <v>133</v>
      </c>
    </row>
    <row r="367" spans="1:5" x14ac:dyDescent="0.45">
      <c r="A367">
        <v>20160206</v>
      </c>
      <c r="B367" s="65" t="s">
        <v>133</v>
      </c>
      <c r="C367" s="65" t="s">
        <v>130</v>
      </c>
      <c r="D367" s="65" t="s">
        <v>134</v>
      </c>
      <c r="E367" s="65" t="s">
        <v>133</v>
      </c>
    </row>
    <row r="368" spans="1:5" x14ac:dyDescent="0.45">
      <c r="A368">
        <v>20160207</v>
      </c>
      <c r="B368" s="65" t="s">
        <v>135</v>
      </c>
      <c r="C368" s="65" t="s">
        <v>130</v>
      </c>
      <c r="D368" s="65" t="s">
        <v>131</v>
      </c>
      <c r="E368" s="65" t="s">
        <v>174</v>
      </c>
    </row>
    <row r="369" spans="1:5" x14ac:dyDescent="0.45">
      <c r="A369">
        <v>20160208</v>
      </c>
      <c r="B369" s="65" t="s">
        <v>137</v>
      </c>
      <c r="C369" s="65" t="s">
        <v>130</v>
      </c>
      <c r="D369" s="65" t="s">
        <v>131</v>
      </c>
      <c r="E369" s="65" t="s">
        <v>175</v>
      </c>
    </row>
    <row r="370" spans="1:5" x14ac:dyDescent="0.45">
      <c r="A370">
        <v>20160209</v>
      </c>
      <c r="B370" s="65" t="s">
        <v>137</v>
      </c>
      <c r="C370" s="65" t="s">
        <v>130</v>
      </c>
      <c r="D370" s="65" t="s">
        <v>131</v>
      </c>
      <c r="E370" s="65" t="s">
        <v>175</v>
      </c>
    </row>
    <row r="371" spans="1:5" x14ac:dyDescent="0.45">
      <c r="A371">
        <v>20160210</v>
      </c>
      <c r="B371" s="65" t="s">
        <v>137</v>
      </c>
      <c r="C371" s="65" t="s">
        <v>130</v>
      </c>
      <c r="D371" s="65" t="s">
        <v>131</v>
      </c>
      <c r="E371" s="65" t="s">
        <v>175</v>
      </c>
    </row>
    <row r="372" spans="1:5" x14ac:dyDescent="0.45">
      <c r="A372">
        <v>20160211</v>
      </c>
      <c r="B372" s="65" t="s">
        <v>133</v>
      </c>
      <c r="C372" s="65" t="s">
        <v>130</v>
      </c>
      <c r="D372" s="65" t="s">
        <v>139</v>
      </c>
      <c r="E372" s="65" t="s">
        <v>133</v>
      </c>
    </row>
    <row r="373" spans="1:5" x14ac:dyDescent="0.45">
      <c r="A373">
        <v>20160212</v>
      </c>
      <c r="B373" s="65" t="s">
        <v>133</v>
      </c>
      <c r="C373" s="65" t="s">
        <v>130</v>
      </c>
      <c r="D373" s="65" t="s">
        <v>140</v>
      </c>
      <c r="E373" s="65" t="s">
        <v>133</v>
      </c>
    </row>
    <row r="374" spans="1:5" x14ac:dyDescent="0.45">
      <c r="A374">
        <v>20160213</v>
      </c>
      <c r="B374" s="65" t="s">
        <v>133</v>
      </c>
      <c r="C374" s="65" t="s">
        <v>130</v>
      </c>
      <c r="D374" s="65" t="s">
        <v>134</v>
      </c>
      <c r="E374" s="65" t="s">
        <v>133</v>
      </c>
    </row>
    <row r="375" spans="1:5" x14ac:dyDescent="0.45">
      <c r="A375">
        <v>20160214</v>
      </c>
      <c r="B375" s="65" t="s">
        <v>133</v>
      </c>
      <c r="C375" s="65" t="s">
        <v>130</v>
      </c>
      <c r="D375" s="65" t="s">
        <v>134</v>
      </c>
      <c r="E375" s="65" t="s">
        <v>133</v>
      </c>
    </row>
    <row r="376" spans="1:5" x14ac:dyDescent="0.45">
      <c r="A376">
        <v>20160220</v>
      </c>
      <c r="B376" s="65" t="s">
        <v>133</v>
      </c>
      <c r="C376" s="65" t="s">
        <v>130</v>
      </c>
      <c r="D376" s="65" t="s">
        <v>134</v>
      </c>
      <c r="E376" s="65" t="s">
        <v>133</v>
      </c>
    </row>
    <row r="377" spans="1:5" x14ac:dyDescent="0.45">
      <c r="A377">
        <v>20160221</v>
      </c>
      <c r="B377" s="65" t="s">
        <v>133</v>
      </c>
      <c r="C377" s="65" t="s">
        <v>130</v>
      </c>
      <c r="D377" s="65" t="s">
        <v>134</v>
      </c>
      <c r="E377" s="65" t="s">
        <v>133</v>
      </c>
    </row>
    <row r="378" spans="1:5" x14ac:dyDescent="0.45">
      <c r="A378">
        <v>20160227</v>
      </c>
      <c r="B378" s="65" t="s">
        <v>133</v>
      </c>
      <c r="C378" s="65" t="s">
        <v>130</v>
      </c>
      <c r="D378" s="65" t="s">
        <v>134</v>
      </c>
      <c r="E378" s="65" t="s">
        <v>133</v>
      </c>
    </row>
    <row r="379" spans="1:5" x14ac:dyDescent="0.45">
      <c r="A379">
        <v>20160228</v>
      </c>
      <c r="B379" s="65" t="s">
        <v>145</v>
      </c>
      <c r="C379" s="65" t="s">
        <v>130</v>
      </c>
      <c r="D379" s="65" t="s">
        <v>131</v>
      </c>
      <c r="E379" s="65" t="s">
        <v>176</v>
      </c>
    </row>
    <row r="380" spans="1:5" x14ac:dyDescent="0.45">
      <c r="A380">
        <v>20160229</v>
      </c>
      <c r="B380" s="65" t="s">
        <v>133</v>
      </c>
      <c r="C380" s="65" t="s">
        <v>130</v>
      </c>
      <c r="D380" s="65" t="s">
        <v>139</v>
      </c>
      <c r="E380" s="65" t="s">
        <v>133</v>
      </c>
    </row>
    <row r="381" spans="1:5" x14ac:dyDescent="0.45">
      <c r="A381">
        <v>20160305</v>
      </c>
      <c r="B381" s="65" t="s">
        <v>133</v>
      </c>
      <c r="C381" s="65" t="s">
        <v>130</v>
      </c>
      <c r="D381" s="65" t="s">
        <v>134</v>
      </c>
      <c r="E381" s="65" t="s">
        <v>133</v>
      </c>
    </row>
    <row r="382" spans="1:5" x14ac:dyDescent="0.45">
      <c r="A382">
        <v>20160306</v>
      </c>
      <c r="B382" s="65" t="s">
        <v>133</v>
      </c>
      <c r="C382" s="65" t="s">
        <v>130</v>
      </c>
      <c r="D382" s="65" t="s">
        <v>134</v>
      </c>
      <c r="E382" s="65" t="s">
        <v>133</v>
      </c>
    </row>
    <row r="383" spans="1:5" x14ac:dyDescent="0.45">
      <c r="A383">
        <v>20160312</v>
      </c>
      <c r="B383" s="65" t="s">
        <v>133</v>
      </c>
      <c r="C383" s="65" t="s">
        <v>130</v>
      </c>
      <c r="D383" s="65" t="s">
        <v>134</v>
      </c>
      <c r="E383" s="65" t="s">
        <v>133</v>
      </c>
    </row>
    <row r="384" spans="1:5" x14ac:dyDescent="0.45">
      <c r="A384">
        <v>20160313</v>
      </c>
      <c r="B384" s="65" t="s">
        <v>133</v>
      </c>
      <c r="C384" s="65" t="s">
        <v>130</v>
      </c>
      <c r="D384" s="65" t="s">
        <v>134</v>
      </c>
      <c r="E384" s="65" t="s">
        <v>133</v>
      </c>
    </row>
    <row r="385" spans="1:5" x14ac:dyDescent="0.45">
      <c r="A385">
        <v>20160319</v>
      </c>
      <c r="B385" s="65" t="s">
        <v>133</v>
      </c>
      <c r="C385" s="65" t="s">
        <v>130</v>
      </c>
      <c r="D385" s="65" t="s">
        <v>134</v>
      </c>
      <c r="E385" s="65" t="s">
        <v>133</v>
      </c>
    </row>
    <row r="386" spans="1:5" x14ac:dyDescent="0.45">
      <c r="A386">
        <v>20160320</v>
      </c>
      <c r="B386" s="65" t="s">
        <v>133</v>
      </c>
      <c r="C386" s="65" t="s">
        <v>130</v>
      </c>
      <c r="D386" s="65" t="s">
        <v>134</v>
      </c>
      <c r="E386" s="65" t="s">
        <v>133</v>
      </c>
    </row>
    <row r="387" spans="1:5" x14ac:dyDescent="0.45">
      <c r="A387">
        <v>20160326</v>
      </c>
      <c r="B387" s="65" t="s">
        <v>133</v>
      </c>
      <c r="C387" s="65" t="s">
        <v>130</v>
      </c>
      <c r="D387" s="65" t="s">
        <v>134</v>
      </c>
      <c r="E387" s="65" t="s">
        <v>133</v>
      </c>
    </row>
    <row r="388" spans="1:5" x14ac:dyDescent="0.45">
      <c r="A388">
        <v>20160327</v>
      </c>
      <c r="B388" s="65" t="s">
        <v>133</v>
      </c>
      <c r="C388" s="65" t="s">
        <v>130</v>
      </c>
      <c r="D388" s="65" t="s">
        <v>134</v>
      </c>
      <c r="E388" s="65" t="s">
        <v>133</v>
      </c>
    </row>
    <row r="389" spans="1:5" x14ac:dyDescent="0.45">
      <c r="A389">
        <v>20160402</v>
      </c>
      <c r="B389" s="65" t="s">
        <v>133</v>
      </c>
      <c r="C389" s="65" t="s">
        <v>130</v>
      </c>
      <c r="D389" s="65" t="s">
        <v>134</v>
      </c>
      <c r="E389" s="65" t="s">
        <v>133</v>
      </c>
    </row>
    <row r="390" spans="1:5" x14ac:dyDescent="0.45">
      <c r="A390">
        <v>20160403</v>
      </c>
      <c r="B390" s="65" t="s">
        <v>133</v>
      </c>
      <c r="C390" s="65" t="s">
        <v>130</v>
      </c>
      <c r="D390" s="65" t="s">
        <v>131</v>
      </c>
      <c r="E390" s="65" t="s">
        <v>133</v>
      </c>
    </row>
    <row r="391" spans="1:5" x14ac:dyDescent="0.45">
      <c r="A391">
        <v>20160404</v>
      </c>
      <c r="B391" s="65" t="s">
        <v>150</v>
      </c>
      <c r="C391" s="65" t="s">
        <v>130</v>
      </c>
      <c r="D391" s="65" t="s">
        <v>131</v>
      </c>
      <c r="E391" s="65" t="s">
        <v>177</v>
      </c>
    </row>
    <row r="392" spans="1:5" x14ac:dyDescent="0.45">
      <c r="A392">
        <v>20160405</v>
      </c>
      <c r="B392" s="65" t="s">
        <v>133</v>
      </c>
      <c r="C392" s="65" t="s">
        <v>130</v>
      </c>
      <c r="D392" s="65" t="s">
        <v>139</v>
      </c>
      <c r="E392" s="65" t="s">
        <v>133</v>
      </c>
    </row>
    <row r="393" spans="1:5" x14ac:dyDescent="0.45">
      <c r="A393">
        <v>20160409</v>
      </c>
      <c r="B393" s="65" t="s">
        <v>133</v>
      </c>
      <c r="C393" s="65" t="s">
        <v>130</v>
      </c>
      <c r="D393" s="65" t="s">
        <v>134</v>
      </c>
      <c r="E393" s="65" t="s">
        <v>133</v>
      </c>
    </row>
    <row r="394" spans="1:5" x14ac:dyDescent="0.45">
      <c r="A394">
        <v>20160410</v>
      </c>
      <c r="B394" s="65" t="s">
        <v>133</v>
      </c>
      <c r="C394" s="65" t="s">
        <v>130</v>
      </c>
      <c r="D394" s="65" t="s">
        <v>134</v>
      </c>
      <c r="E394" s="65" t="s">
        <v>133</v>
      </c>
    </row>
    <row r="395" spans="1:5" x14ac:dyDescent="0.45">
      <c r="A395">
        <v>20160416</v>
      </c>
      <c r="B395" s="65" t="s">
        <v>133</v>
      </c>
      <c r="C395" s="65" t="s">
        <v>130</v>
      </c>
      <c r="D395" s="65" t="s">
        <v>134</v>
      </c>
      <c r="E395" s="65" t="s">
        <v>133</v>
      </c>
    </row>
    <row r="396" spans="1:5" x14ac:dyDescent="0.45">
      <c r="A396">
        <v>20160417</v>
      </c>
      <c r="B396" s="65" t="s">
        <v>133</v>
      </c>
      <c r="C396" s="65" t="s">
        <v>130</v>
      </c>
      <c r="D396" s="65" t="s">
        <v>134</v>
      </c>
      <c r="E396" s="65" t="s">
        <v>133</v>
      </c>
    </row>
    <row r="397" spans="1:5" x14ac:dyDescent="0.45">
      <c r="A397">
        <v>20160423</v>
      </c>
      <c r="B397" s="65" t="s">
        <v>133</v>
      </c>
      <c r="C397" s="65" t="s">
        <v>130</v>
      </c>
      <c r="D397" s="65" t="s">
        <v>134</v>
      </c>
      <c r="E397" s="65" t="s">
        <v>133</v>
      </c>
    </row>
    <row r="398" spans="1:5" x14ac:dyDescent="0.45">
      <c r="A398">
        <v>20160424</v>
      </c>
      <c r="B398" s="65" t="s">
        <v>133</v>
      </c>
      <c r="C398" s="65" t="s">
        <v>130</v>
      </c>
      <c r="D398" s="65" t="s">
        <v>134</v>
      </c>
      <c r="E398" s="65" t="s">
        <v>133</v>
      </c>
    </row>
    <row r="399" spans="1:5" x14ac:dyDescent="0.45">
      <c r="A399">
        <v>20160430</v>
      </c>
      <c r="B399" s="65" t="s">
        <v>133</v>
      </c>
      <c r="C399" s="65" t="s">
        <v>130</v>
      </c>
      <c r="D399" s="65" t="s">
        <v>134</v>
      </c>
      <c r="E399" s="65" t="s">
        <v>133</v>
      </c>
    </row>
    <row r="400" spans="1:5" x14ac:dyDescent="0.45">
      <c r="A400">
        <v>20160507</v>
      </c>
      <c r="B400" s="65" t="s">
        <v>133</v>
      </c>
      <c r="C400" s="65" t="s">
        <v>130</v>
      </c>
      <c r="D400" s="65" t="s">
        <v>134</v>
      </c>
      <c r="E400" s="65" t="s">
        <v>133</v>
      </c>
    </row>
    <row r="401" spans="1:5" x14ac:dyDescent="0.45">
      <c r="A401">
        <v>20160508</v>
      </c>
      <c r="B401" s="65" t="s">
        <v>133</v>
      </c>
      <c r="C401" s="65" t="s">
        <v>130</v>
      </c>
      <c r="D401" s="65" t="s">
        <v>134</v>
      </c>
      <c r="E401" s="65" t="s">
        <v>133</v>
      </c>
    </row>
    <row r="402" spans="1:5" x14ac:dyDescent="0.45">
      <c r="A402">
        <v>20160514</v>
      </c>
      <c r="B402" s="65" t="s">
        <v>133</v>
      </c>
      <c r="C402" s="65" t="s">
        <v>130</v>
      </c>
      <c r="D402" s="65" t="s">
        <v>134</v>
      </c>
      <c r="E402" s="65" t="s">
        <v>133</v>
      </c>
    </row>
    <row r="403" spans="1:5" x14ac:dyDescent="0.45">
      <c r="A403">
        <v>20160515</v>
      </c>
      <c r="B403" s="65" t="s">
        <v>133</v>
      </c>
      <c r="C403" s="65" t="s">
        <v>130</v>
      </c>
      <c r="D403" s="65" t="s">
        <v>134</v>
      </c>
      <c r="E403" s="65" t="s">
        <v>133</v>
      </c>
    </row>
    <row r="404" spans="1:5" x14ac:dyDescent="0.45">
      <c r="A404">
        <v>20160521</v>
      </c>
      <c r="B404" s="65" t="s">
        <v>133</v>
      </c>
      <c r="C404" s="65" t="s">
        <v>130</v>
      </c>
      <c r="D404" s="65" t="s">
        <v>134</v>
      </c>
      <c r="E404" s="65" t="s">
        <v>133</v>
      </c>
    </row>
    <row r="405" spans="1:5" x14ac:dyDescent="0.45">
      <c r="A405">
        <v>20160522</v>
      </c>
      <c r="B405" s="65" t="s">
        <v>133</v>
      </c>
      <c r="C405" s="65" t="s">
        <v>130</v>
      </c>
      <c r="D405" s="65" t="s">
        <v>134</v>
      </c>
      <c r="E405" s="65" t="s">
        <v>133</v>
      </c>
    </row>
    <row r="406" spans="1:5" x14ac:dyDescent="0.45">
      <c r="A406">
        <v>20160528</v>
      </c>
      <c r="B406" s="65" t="s">
        <v>133</v>
      </c>
      <c r="C406" s="65" t="s">
        <v>130</v>
      </c>
      <c r="D406" s="65" t="s">
        <v>134</v>
      </c>
      <c r="E406" s="65" t="s">
        <v>133</v>
      </c>
    </row>
    <row r="407" spans="1:5" x14ac:dyDescent="0.45">
      <c r="A407">
        <v>20160529</v>
      </c>
      <c r="B407" s="65" t="s">
        <v>133</v>
      </c>
      <c r="C407" s="65" t="s">
        <v>130</v>
      </c>
      <c r="D407" s="65" t="s">
        <v>134</v>
      </c>
      <c r="E407" s="65" t="s">
        <v>133</v>
      </c>
    </row>
    <row r="408" spans="1:5" x14ac:dyDescent="0.45">
      <c r="A408">
        <v>20160604</v>
      </c>
      <c r="B408" s="65" t="s">
        <v>133</v>
      </c>
      <c r="C408" s="65" t="s">
        <v>142</v>
      </c>
      <c r="D408" s="65" t="s">
        <v>143</v>
      </c>
      <c r="E408" s="65" t="s">
        <v>133</v>
      </c>
    </row>
    <row r="409" spans="1:5" x14ac:dyDescent="0.45">
      <c r="A409">
        <v>20160605</v>
      </c>
      <c r="B409" s="65" t="s">
        <v>133</v>
      </c>
      <c r="C409" s="65" t="s">
        <v>130</v>
      </c>
      <c r="D409" s="65" t="s">
        <v>134</v>
      </c>
      <c r="E409" s="65" t="s">
        <v>133</v>
      </c>
    </row>
    <row r="410" spans="1:5" x14ac:dyDescent="0.45">
      <c r="A410">
        <v>20160609</v>
      </c>
      <c r="B410" s="65" t="s">
        <v>153</v>
      </c>
      <c r="C410" s="65" t="s">
        <v>130</v>
      </c>
      <c r="D410" s="65" t="s">
        <v>131</v>
      </c>
      <c r="E410" s="65" t="s">
        <v>178</v>
      </c>
    </row>
    <row r="411" spans="1:5" x14ac:dyDescent="0.45">
      <c r="A411">
        <v>20160610</v>
      </c>
      <c r="B411" s="65" t="s">
        <v>133</v>
      </c>
      <c r="C411" s="65" t="s">
        <v>130</v>
      </c>
      <c r="D411" s="65" t="s">
        <v>140</v>
      </c>
      <c r="E411" s="65" t="s">
        <v>133</v>
      </c>
    </row>
    <row r="412" spans="1:5" x14ac:dyDescent="0.45">
      <c r="A412">
        <v>20160611</v>
      </c>
      <c r="B412" s="65" t="s">
        <v>133</v>
      </c>
      <c r="C412" s="65" t="s">
        <v>130</v>
      </c>
      <c r="D412" s="65" t="s">
        <v>134</v>
      </c>
      <c r="E412" s="65" t="s">
        <v>133</v>
      </c>
    </row>
    <row r="413" spans="1:5" x14ac:dyDescent="0.45">
      <c r="A413">
        <v>20160612</v>
      </c>
      <c r="B413" s="65" t="s">
        <v>133</v>
      </c>
      <c r="C413" s="65" t="s">
        <v>130</v>
      </c>
      <c r="D413" s="65" t="s">
        <v>134</v>
      </c>
      <c r="E413" s="65" t="s">
        <v>133</v>
      </c>
    </row>
    <row r="414" spans="1:5" x14ac:dyDescent="0.45">
      <c r="A414">
        <v>20160618</v>
      </c>
      <c r="B414" s="65" t="s">
        <v>133</v>
      </c>
      <c r="C414" s="65" t="s">
        <v>130</v>
      </c>
      <c r="D414" s="65" t="s">
        <v>134</v>
      </c>
      <c r="E414" s="65" t="s">
        <v>133</v>
      </c>
    </row>
    <row r="415" spans="1:5" x14ac:dyDescent="0.45">
      <c r="A415">
        <v>20160619</v>
      </c>
      <c r="B415" s="65" t="s">
        <v>133</v>
      </c>
      <c r="C415" s="65" t="s">
        <v>130</v>
      </c>
      <c r="D415" s="65" t="s">
        <v>134</v>
      </c>
      <c r="E415" s="65" t="s">
        <v>133</v>
      </c>
    </row>
    <row r="416" spans="1:5" x14ac:dyDescent="0.45">
      <c r="A416">
        <v>20160625</v>
      </c>
      <c r="B416" s="65" t="s">
        <v>133</v>
      </c>
      <c r="C416" s="65" t="s">
        <v>130</v>
      </c>
      <c r="D416" s="65" t="s">
        <v>134</v>
      </c>
      <c r="E416" s="65" t="s">
        <v>133</v>
      </c>
    </row>
    <row r="417" spans="1:5" x14ac:dyDescent="0.45">
      <c r="A417">
        <v>20160626</v>
      </c>
      <c r="B417" s="65" t="s">
        <v>133</v>
      </c>
      <c r="C417" s="65" t="s">
        <v>130</v>
      </c>
      <c r="D417" s="65" t="s">
        <v>134</v>
      </c>
      <c r="E417" s="65" t="s">
        <v>133</v>
      </c>
    </row>
    <row r="418" spans="1:5" x14ac:dyDescent="0.45">
      <c r="A418">
        <v>20160702</v>
      </c>
      <c r="B418" s="65" t="s">
        <v>133</v>
      </c>
      <c r="C418" s="65" t="s">
        <v>130</v>
      </c>
      <c r="D418" s="65" t="s">
        <v>134</v>
      </c>
      <c r="E418" s="65" t="s">
        <v>133</v>
      </c>
    </row>
    <row r="419" spans="1:5" x14ac:dyDescent="0.45">
      <c r="A419">
        <v>20160703</v>
      </c>
      <c r="B419" s="65" t="s">
        <v>133</v>
      </c>
      <c r="C419" s="65" t="s">
        <v>130</v>
      </c>
      <c r="D419" s="65" t="s">
        <v>134</v>
      </c>
      <c r="E419" s="65" t="s">
        <v>133</v>
      </c>
    </row>
    <row r="420" spans="1:5" x14ac:dyDescent="0.45">
      <c r="A420">
        <v>20160709</v>
      </c>
      <c r="B420" s="65" t="s">
        <v>133</v>
      </c>
      <c r="C420" s="65" t="s">
        <v>130</v>
      </c>
      <c r="D420" s="65" t="s">
        <v>134</v>
      </c>
      <c r="E420" s="65" t="s">
        <v>133</v>
      </c>
    </row>
    <row r="421" spans="1:5" x14ac:dyDescent="0.45">
      <c r="A421">
        <v>20160710</v>
      </c>
      <c r="B421" s="65" t="s">
        <v>133</v>
      </c>
      <c r="C421" s="65" t="s">
        <v>130</v>
      </c>
      <c r="D421" s="65" t="s">
        <v>134</v>
      </c>
      <c r="E421" s="65" t="s">
        <v>133</v>
      </c>
    </row>
    <row r="422" spans="1:5" x14ac:dyDescent="0.45">
      <c r="A422">
        <v>20160716</v>
      </c>
      <c r="B422" s="65" t="s">
        <v>133</v>
      </c>
      <c r="C422" s="65" t="s">
        <v>130</v>
      </c>
      <c r="D422" s="65" t="s">
        <v>134</v>
      </c>
      <c r="E422" s="65" t="s">
        <v>133</v>
      </c>
    </row>
    <row r="423" spans="1:5" x14ac:dyDescent="0.45">
      <c r="A423">
        <v>20160717</v>
      </c>
      <c r="B423" s="65" t="s">
        <v>133</v>
      </c>
      <c r="C423" s="65" t="s">
        <v>130</v>
      </c>
      <c r="D423" s="65" t="s">
        <v>134</v>
      </c>
      <c r="E423" s="65" t="s">
        <v>133</v>
      </c>
    </row>
    <row r="424" spans="1:5" x14ac:dyDescent="0.45">
      <c r="A424">
        <v>20160723</v>
      </c>
      <c r="B424" s="65" t="s">
        <v>133</v>
      </c>
      <c r="C424" s="65" t="s">
        <v>130</v>
      </c>
      <c r="D424" s="65" t="s">
        <v>134</v>
      </c>
      <c r="E424" s="65" t="s">
        <v>133</v>
      </c>
    </row>
    <row r="425" spans="1:5" x14ac:dyDescent="0.45">
      <c r="A425">
        <v>20160724</v>
      </c>
      <c r="B425" s="65" t="s">
        <v>133</v>
      </c>
      <c r="C425" s="65" t="s">
        <v>130</v>
      </c>
      <c r="D425" s="65" t="s">
        <v>134</v>
      </c>
      <c r="E425" s="65" t="s">
        <v>133</v>
      </c>
    </row>
    <row r="426" spans="1:5" x14ac:dyDescent="0.45">
      <c r="A426">
        <v>20160730</v>
      </c>
      <c r="B426" s="65" t="s">
        <v>133</v>
      </c>
      <c r="C426" s="65" t="s">
        <v>130</v>
      </c>
      <c r="D426" s="65" t="s">
        <v>134</v>
      </c>
      <c r="E426" s="65" t="s">
        <v>133</v>
      </c>
    </row>
    <row r="427" spans="1:5" x14ac:dyDescent="0.45">
      <c r="A427">
        <v>20160731</v>
      </c>
      <c r="B427" s="65" t="s">
        <v>133</v>
      </c>
      <c r="C427" s="65" t="s">
        <v>130</v>
      </c>
      <c r="D427" s="65" t="s">
        <v>134</v>
      </c>
      <c r="E427" s="65" t="s">
        <v>133</v>
      </c>
    </row>
    <row r="428" spans="1:5" x14ac:dyDescent="0.45">
      <c r="A428">
        <v>20160806</v>
      </c>
      <c r="B428" s="65" t="s">
        <v>133</v>
      </c>
      <c r="C428" s="65" t="s">
        <v>130</v>
      </c>
      <c r="D428" s="65" t="s">
        <v>134</v>
      </c>
      <c r="E428" s="65" t="s">
        <v>133</v>
      </c>
    </row>
    <row r="429" spans="1:5" x14ac:dyDescent="0.45">
      <c r="A429">
        <v>20160807</v>
      </c>
      <c r="B429" s="65" t="s">
        <v>133</v>
      </c>
      <c r="C429" s="65" t="s">
        <v>130</v>
      </c>
      <c r="D429" s="65" t="s">
        <v>134</v>
      </c>
      <c r="E429" s="65" t="s">
        <v>133</v>
      </c>
    </row>
    <row r="430" spans="1:5" x14ac:dyDescent="0.45">
      <c r="A430">
        <v>20160813</v>
      </c>
      <c r="B430" s="65" t="s">
        <v>133</v>
      </c>
      <c r="C430" s="65" t="s">
        <v>130</v>
      </c>
      <c r="D430" s="65" t="s">
        <v>134</v>
      </c>
      <c r="E430" s="65" t="s">
        <v>133</v>
      </c>
    </row>
    <row r="431" spans="1:5" x14ac:dyDescent="0.45">
      <c r="A431">
        <v>20160814</v>
      </c>
      <c r="B431" s="65" t="s">
        <v>133</v>
      </c>
      <c r="C431" s="65" t="s">
        <v>130</v>
      </c>
      <c r="D431" s="65" t="s">
        <v>134</v>
      </c>
      <c r="E431" s="65" t="s">
        <v>133</v>
      </c>
    </row>
    <row r="432" spans="1:5" x14ac:dyDescent="0.45">
      <c r="A432">
        <v>20160820</v>
      </c>
      <c r="B432" s="65" t="s">
        <v>133</v>
      </c>
      <c r="C432" s="65" t="s">
        <v>130</v>
      </c>
      <c r="D432" s="65" t="s">
        <v>134</v>
      </c>
      <c r="E432" s="65" t="s">
        <v>133</v>
      </c>
    </row>
    <row r="433" spans="1:5" x14ac:dyDescent="0.45">
      <c r="A433">
        <v>20160821</v>
      </c>
      <c r="B433" s="65" t="s">
        <v>133</v>
      </c>
      <c r="C433" s="65" t="s">
        <v>130</v>
      </c>
      <c r="D433" s="65" t="s">
        <v>134</v>
      </c>
      <c r="E433" s="65" t="s">
        <v>133</v>
      </c>
    </row>
    <row r="434" spans="1:5" x14ac:dyDescent="0.45">
      <c r="A434">
        <v>20160827</v>
      </c>
      <c r="B434" s="65" t="s">
        <v>133</v>
      </c>
      <c r="C434" s="65" t="s">
        <v>130</v>
      </c>
      <c r="D434" s="65" t="s">
        <v>134</v>
      </c>
      <c r="E434" s="65" t="s">
        <v>133</v>
      </c>
    </row>
    <row r="435" spans="1:5" x14ac:dyDescent="0.45">
      <c r="A435">
        <v>20160828</v>
      </c>
      <c r="B435" s="65" t="s">
        <v>133</v>
      </c>
      <c r="C435" s="65" t="s">
        <v>130</v>
      </c>
      <c r="D435" s="65" t="s">
        <v>134</v>
      </c>
      <c r="E435" s="65" t="s">
        <v>133</v>
      </c>
    </row>
    <row r="436" spans="1:5" x14ac:dyDescent="0.45">
      <c r="A436">
        <v>20160904</v>
      </c>
      <c r="B436" s="65" t="s">
        <v>133</v>
      </c>
      <c r="C436" s="65" t="s">
        <v>130</v>
      </c>
      <c r="D436" s="65" t="s">
        <v>134</v>
      </c>
      <c r="E436" s="65" t="s">
        <v>133</v>
      </c>
    </row>
    <row r="437" spans="1:5" x14ac:dyDescent="0.45">
      <c r="A437">
        <v>20160910</v>
      </c>
      <c r="B437" s="65" t="s">
        <v>133</v>
      </c>
      <c r="C437" s="65" t="s">
        <v>142</v>
      </c>
      <c r="D437" s="65" t="s">
        <v>143</v>
      </c>
      <c r="E437" s="65" t="s">
        <v>133</v>
      </c>
    </row>
    <row r="438" spans="1:5" x14ac:dyDescent="0.45">
      <c r="A438">
        <v>20160911</v>
      </c>
      <c r="B438" s="65" t="s">
        <v>133</v>
      </c>
      <c r="C438" s="65" t="s">
        <v>130</v>
      </c>
      <c r="D438" s="65" t="s">
        <v>134</v>
      </c>
      <c r="E438" s="65" t="s">
        <v>133</v>
      </c>
    </row>
    <row r="439" spans="1:5" x14ac:dyDescent="0.45">
      <c r="A439">
        <v>20160915</v>
      </c>
      <c r="B439" s="65" t="s">
        <v>154</v>
      </c>
      <c r="C439" s="65" t="s">
        <v>130</v>
      </c>
      <c r="D439" s="65" t="s">
        <v>131</v>
      </c>
      <c r="E439" s="65" t="s">
        <v>179</v>
      </c>
    </row>
    <row r="440" spans="1:5" x14ac:dyDescent="0.45">
      <c r="A440">
        <v>20160916</v>
      </c>
      <c r="B440" s="65" t="s">
        <v>133</v>
      </c>
      <c r="C440" s="65" t="s">
        <v>130</v>
      </c>
      <c r="D440" s="65" t="s">
        <v>140</v>
      </c>
      <c r="E440" s="65" t="s">
        <v>133</v>
      </c>
    </row>
    <row r="441" spans="1:5" x14ac:dyDescent="0.45">
      <c r="A441">
        <v>20160917</v>
      </c>
      <c r="B441" s="65" t="s">
        <v>133</v>
      </c>
      <c r="C441" s="65" t="s">
        <v>130</v>
      </c>
      <c r="D441" s="65" t="s">
        <v>134</v>
      </c>
      <c r="E441" s="65" t="s">
        <v>133</v>
      </c>
    </row>
    <row r="442" spans="1:5" x14ac:dyDescent="0.45">
      <c r="A442">
        <v>20160918</v>
      </c>
      <c r="B442" s="65" t="s">
        <v>133</v>
      </c>
      <c r="C442" s="65" t="s">
        <v>130</v>
      </c>
      <c r="D442" s="65" t="s">
        <v>134</v>
      </c>
      <c r="E442" s="65" t="s">
        <v>133</v>
      </c>
    </row>
    <row r="443" spans="1:5" x14ac:dyDescent="0.45">
      <c r="A443">
        <v>20160924</v>
      </c>
      <c r="B443" s="65" t="s">
        <v>133</v>
      </c>
      <c r="C443" s="65" t="s">
        <v>130</v>
      </c>
      <c r="D443" s="65" t="s">
        <v>134</v>
      </c>
      <c r="E443" s="65" t="s">
        <v>133</v>
      </c>
    </row>
    <row r="444" spans="1:5" x14ac:dyDescent="0.45">
      <c r="A444">
        <v>20160925</v>
      </c>
      <c r="B444" s="65" t="s">
        <v>133</v>
      </c>
      <c r="C444" s="65" t="s">
        <v>130</v>
      </c>
      <c r="D444" s="65" t="s">
        <v>134</v>
      </c>
      <c r="E444" s="65" t="s">
        <v>133</v>
      </c>
    </row>
    <row r="445" spans="1:5" x14ac:dyDescent="0.45">
      <c r="A445">
        <v>20161001</v>
      </c>
      <c r="B445" s="65" t="s">
        <v>133</v>
      </c>
      <c r="C445" s="65" t="s">
        <v>130</v>
      </c>
      <c r="D445" s="65" t="s">
        <v>134</v>
      </c>
      <c r="E445" s="65" t="s">
        <v>133</v>
      </c>
    </row>
    <row r="446" spans="1:5" x14ac:dyDescent="0.45">
      <c r="A446">
        <v>20161002</v>
      </c>
      <c r="B446" s="65" t="s">
        <v>133</v>
      </c>
      <c r="C446" s="65" t="s">
        <v>130</v>
      </c>
      <c r="D446" s="65" t="s">
        <v>134</v>
      </c>
      <c r="E446" s="65" t="s">
        <v>133</v>
      </c>
    </row>
    <row r="447" spans="1:5" x14ac:dyDescent="0.45">
      <c r="A447">
        <v>20161008</v>
      </c>
      <c r="B447" s="65" t="s">
        <v>133</v>
      </c>
      <c r="C447" s="65" t="s">
        <v>130</v>
      </c>
      <c r="D447" s="65" t="s">
        <v>134</v>
      </c>
      <c r="E447" s="65" t="s">
        <v>133</v>
      </c>
    </row>
    <row r="448" spans="1:5" x14ac:dyDescent="0.45">
      <c r="A448">
        <v>20161009</v>
      </c>
      <c r="B448" s="65" t="s">
        <v>133</v>
      </c>
      <c r="C448" s="65" t="s">
        <v>130</v>
      </c>
      <c r="D448" s="65" t="s">
        <v>134</v>
      </c>
      <c r="E448" s="65" t="s">
        <v>133</v>
      </c>
    </row>
    <row r="449" spans="1:5" x14ac:dyDescent="0.45">
      <c r="A449">
        <v>20161010</v>
      </c>
      <c r="B449" s="65" t="s">
        <v>158</v>
      </c>
      <c r="C449" s="65" t="s">
        <v>130</v>
      </c>
      <c r="D449" s="65" t="s">
        <v>131</v>
      </c>
      <c r="E449" s="65" t="s">
        <v>132</v>
      </c>
    </row>
    <row r="450" spans="1:5" x14ac:dyDescent="0.45">
      <c r="A450">
        <v>20161015</v>
      </c>
      <c r="B450" s="65" t="s">
        <v>133</v>
      </c>
      <c r="C450" s="65" t="s">
        <v>130</v>
      </c>
      <c r="D450" s="65" t="s">
        <v>134</v>
      </c>
      <c r="E450" s="65" t="s">
        <v>133</v>
      </c>
    </row>
    <row r="451" spans="1:5" x14ac:dyDescent="0.45">
      <c r="A451">
        <v>20161016</v>
      </c>
      <c r="B451" s="65" t="s">
        <v>133</v>
      </c>
      <c r="C451" s="65" t="s">
        <v>130</v>
      </c>
      <c r="D451" s="65" t="s">
        <v>134</v>
      </c>
      <c r="E451" s="65" t="s">
        <v>133</v>
      </c>
    </row>
    <row r="452" spans="1:5" x14ac:dyDescent="0.45">
      <c r="A452">
        <v>20161022</v>
      </c>
      <c r="B452" s="65" t="s">
        <v>133</v>
      </c>
      <c r="C452" s="65" t="s">
        <v>130</v>
      </c>
      <c r="D452" s="65" t="s">
        <v>134</v>
      </c>
      <c r="E452" s="65" t="s">
        <v>133</v>
      </c>
    </row>
    <row r="453" spans="1:5" x14ac:dyDescent="0.45">
      <c r="A453">
        <v>20161023</v>
      </c>
      <c r="B453" s="65" t="s">
        <v>133</v>
      </c>
      <c r="C453" s="65" t="s">
        <v>130</v>
      </c>
      <c r="D453" s="65" t="s">
        <v>134</v>
      </c>
      <c r="E453" s="65" t="s">
        <v>133</v>
      </c>
    </row>
    <row r="454" spans="1:5" x14ac:dyDescent="0.45">
      <c r="A454">
        <v>20161029</v>
      </c>
      <c r="B454" s="65" t="s">
        <v>133</v>
      </c>
      <c r="C454" s="65" t="s">
        <v>130</v>
      </c>
      <c r="D454" s="65" t="s">
        <v>134</v>
      </c>
      <c r="E454" s="65" t="s">
        <v>133</v>
      </c>
    </row>
    <row r="455" spans="1:5" x14ac:dyDescent="0.45">
      <c r="A455">
        <v>20161030</v>
      </c>
      <c r="B455" s="65" t="s">
        <v>133</v>
      </c>
      <c r="C455" s="65" t="s">
        <v>130</v>
      </c>
      <c r="D455" s="65" t="s">
        <v>134</v>
      </c>
      <c r="E455" s="65" t="s">
        <v>133</v>
      </c>
    </row>
    <row r="456" spans="1:5" x14ac:dyDescent="0.45">
      <c r="A456">
        <v>20161105</v>
      </c>
      <c r="B456" s="65" t="s">
        <v>133</v>
      </c>
      <c r="C456" s="65" t="s">
        <v>130</v>
      </c>
      <c r="D456" s="65" t="s">
        <v>134</v>
      </c>
      <c r="E456" s="65" t="s">
        <v>133</v>
      </c>
    </row>
    <row r="457" spans="1:5" x14ac:dyDescent="0.45">
      <c r="A457">
        <v>20161106</v>
      </c>
      <c r="B457" s="65" t="s">
        <v>133</v>
      </c>
      <c r="C457" s="65" t="s">
        <v>130</v>
      </c>
      <c r="D457" s="65" t="s">
        <v>134</v>
      </c>
      <c r="E457" s="65" t="s">
        <v>133</v>
      </c>
    </row>
    <row r="458" spans="1:5" x14ac:dyDescent="0.45">
      <c r="A458">
        <v>20161112</v>
      </c>
      <c r="B458" s="65" t="s">
        <v>133</v>
      </c>
      <c r="C458" s="65" t="s">
        <v>130</v>
      </c>
      <c r="D458" s="65" t="s">
        <v>134</v>
      </c>
      <c r="E458" s="65" t="s">
        <v>133</v>
      </c>
    </row>
    <row r="459" spans="1:5" x14ac:dyDescent="0.45">
      <c r="A459">
        <v>20161113</v>
      </c>
      <c r="B459" s="65" t="s">
        <v>133</v>
      </c>
      <c r="C459" s="65" t="s">
        <v>130</v>
      </c>
      <c r="D459" s="65" t="s">
        <v>134</v>
      </c>
      <c r="E459" s="65" t="s">
        <v>133</v>
      </c>
    </row>
    <row r="460" spans="1:5" x14ac:dyDescent="0.45">
      <c r="A460">
        <v>20161119</v>
      </c>
      <c r="B460" s="65" t="s">
        <v>133</v>
      </c>
      <c r="C460" s="65" t="s">
        <v>130</v>
      </c>
      <c r="D460" s="65" t="s">
        <v>134</v>
      </c>
      <c r="E460" s="65" t="s">
        <v>133</v>
      </c>
    </row>
    <row r="461" spans="1:5" x14ac:dyDescent="0.45">
      <c r="A461">
        <v>20161120</v>
      </c>
      <c r="B461" s="65" t="s">
        <v>133</v>
      </c>
      <c r="C461" s="65" t="s">
        <v>130</v>
      </c>
      <c r="D461" s="65" t="s">
        <v>134</v>
      </c>
      <c r="E461" s="65" t="s">
        <v>133</v>
      </c>
    </row>
    <row r="462" spans="1:5" x14ac:dyDescent="0.45">
      <c r="A462">
        <v>20161126</v>
      </c>
      <c r="B462" s="65" t="s">
        <v>133</v>
      </c>
      <c r="C462" s="65" t="s">
        <v>130</v>
      </c>
      <c r="D462" s="65" t="s">
        <v>134</v>
      </c>
      <c r="E462" s="65" t="s">
        <v>133</v>
      </c>
    </row>
    <row r="463" spans="1:5" x14ac:dyDescent="0.45">
      <c r="A463">
        <v>20161127</v>
      </c>
      <c r="B463" s="65" t="s">
        <v>133</v>
      </c>
      <c r="C463" s="65" t="s">
        <v>130</v>
      </c>
      <c r="D463" s="65" t="s">
        <v>134</v>
      </c>
      <c r="E463" s="65" t="s">
        <v>133</v>
      </c>
    </row>
    <row r="464" spans="1:5" x14ac:dyDescent="0.45">
      <c r="A464">
        <v>20161203</v>
      </c>
      <c r="B464" s="65" t="s">
        <v>133</v>
      </c>
      <c r="C464" s="65" t="s">
        <v>130</v>
      </c>
      <c r="D464" s="65" t="s">
        <v>134</v>
      </c>
      <c r="E464" s="65" t="s">
        <v>133</v>
      </c>
    </row>
    <row r="465" spans="1:5" x14ac:dyDescent="0.45">
      <c r="A465">
        <v>20161204</v>
      </c>
      <c r="B465" s="65" t="s">
        <v>133</v>
      </c>
      <c r="C465" s="65" t="s">
        <v>130</v>
      </c>
      <c r="D465" s="65" t="s">
        <v>134</v>
      </c>
      <c r="E465" s="65" t="s">
        <v>133</v>
      </c>
    </row>
    <row r="466" spans="1:5" x14ac:dyDescent="0.45">
      <c r="A466">
        <v>20161210</v>
      </c>
      <c r="B466" s="65" t="s">
        <v>133</v>
      </c>
      <c r="C466" s="65" t="s">
        <v>130</v>
      </c>
      <c r="D466" s="65" t="s">
        <v>134</v>
      </c>
      <c r="E466" s="65" t="s">
        <v>133</v>
      </c>
    </row>
    <row r="467" spans="1:5" x14ac:dyDescent="0.45">
      <c r="A467">
        <v>20161211</v>
      </c>
      <c r="B467" s="65" t="s">
        <v>133</v>
      </c>
      <c r="C467" s="65" t="s">
        <v>130</v>
      </c>
      <c r="D467" s="65" t="s">
        <v>134</v>
      </c>
      <c r="E467" s="65" t="s">
        <v>133</v>
      </c>
    </row>
    <row r="468" spans="1:5" x14ac:dyDescent="0.45">
      <c r="A468">
        <v>20161217</v>
      </c>
      <c r="B468" s="65" t="s">
        <v>133</v>
      </c>
      <c r="C468" s="65" t="s">
        <v>130</v>
      </c>
      <c r="D468" s="65" t="s">
        <v>134</v>
      </c>
      <c r="E468" s="65" t="s">
        <v>133</v>
      </c>
    </row>
    <row r="469" spans="1:5" x14ac:dyDescent="0.45">
      <c r="A469">
        <v>20161218</v>
      </c>
      <c r="B469" s="65" t="s">
        <v>133</v>
      </c>
      <c r="C469" s="65" t="s">
        <v>130</v>
      </c>
      <c r="D469" s="65" t="s">
        <v>134</v>
      </c>
      <c r="E469" s="65" t="s">
        <v>133</v>
      </c>
    </row>
    <row r="470" spans="1:5" x14ac:dyDescent="0.45">
      <c r="A470">
        <v>20161224</v>
      </c>
      <c r="B470" s="65" t="s">
        <v>133</v>
      </c>
      <c r="C470" s="65" t="s">
        <v>130</v>
      </c>
      <c r="D470" s="65" t="s">
        <v>134</v>
      </c>
      <c r="E470" s="65" t="s">
        <v>133</v>
      </c>
    </row>
    <row r="471" spans="1:5" x14ac:dyDescent="0.45">
      <c r="A471">
        <v>20161225</v>
      </c>
      <c r="B471" s="65" t="s">
        <v>133</v>
      </c>
      <c r="C471" s="65" t="s">
        <v>130</v>
      </c>
      <c r="D471" s="65" t="s">
        <v>134</v>
      </c>
      <c r="E471" s="65" t="s">
        <v>133</v>
      </c>
    </row>
    <row r="472" spans="1:5" x14ac:dyDescent="0.45">
      <c r="A472">
        <v>20161231</v>
      </c>
      <c r="B472" s="65" t="s">
        <v>133</v>
      </c>
      <c r="C472" s="65" t="s">
        <v>130</v>
      </c>
      <c r="D472" s="65" t="s">
        <v>134</v>
      </c>
      <c r="E472" s="65" t="s">
        <v>133</v>
      </c>
    </row>
    <row r="473" spans="1:5" x14ac:dyDescent="0.45">
      <c r="A473">
        <v>20170101</v>
      </c>
      <c r="B473" s="65" t="s">
        <v>129</v>
      </c>
      <c r="C473" s="65" t="s">
        <v>130</v>
      </c>
      <c r="D473" s="65" t="s">
        <v>131</v>
      </c>
      <c r="E473" s="65" t="s">
        <v>180</v>
      </c>
    </row>
    <row r="474" spans="1:5" x14ac:dyDescent="0.45">
      <c r="A474">
        <v>20170102</v>
      </c>
      <c r="B474" s="65" t="s">
        <v>133</v>
      </c>
      <c r="C474" s="65" t="s">
        <v>130</v>
      </c>
      <c r="D474" s="65" t="s">
        <v>139</v>
      </c>
      <c r="E474" s="65" t="s">
        <v>133</v>
      </c>
    </row>
    <row r="475" spans="1:5" x14ac:dyDescent="0.45">
      <c r="A475">
        <v>20170107</v>
      </c>
      <c r="B475" s="65" t="s">
        <v>133</v>
      </c>
      <c r="C475" s="65" t="s">
        <v>130</v>
      </c>
      <c r="D475" s="65" t="s">
        <v>134</v>
      </c>
      <c r="E475" s="65" t="s">
        <v>133</v>
      </c>
    </row>
    <row r="476" spans="1:5" x14ac:dyDescent="0.45">
      <c r="A476">
        <v>20170108</v>
      </c>
      <c r="B476" s="65" t="s">
        <v>133</v>
      </c>
      <c r="C476" s="65" t="s">
        <v>130</v>
      </c>
      <c r="D476" s="65" t="s">
        <v>134</v>
      </c>
      <c r="E476" s="65" t="s">
        <v>133</v>
      </c>
    </row>
    <row r="477" spans="1:5" x14ac:dyDescent="0.45">
      <c r="A477">
        <v>20170114</v>
      </c>
      <c r="B477" s="65" t="s">
        <v>133</v>
      </c>
      <c r="C477" s="65" t="s">
        <v>130</v>
      </c>
      <c r="D477" s="65" t="s">
        <v>134</v>
      </c>
      <c r="E477" s="65" t="s">
        <v>133</v>
      </c>
    </row>
    <row r="478" spans="1:5" x14ac:dyDescent="0.45">
      <c r="A478">
        <v>20170115</v>
      </c>
      <c r="B478" s="65" t="s">
        <v>133</v>
      </c>
      <c r="C478" s="65" t="s">
        <v>130</v>
      </c>
      <c r="D478" s="65" t="s">
        <v>134</v>
      </c>
      <c r="E478" s="65" t="s">
        <v>133</v>
      </c>
    </row>
    <row r="479" spans="1:5" x14ac:dyDescent="0.45">
      <c r="A479">
        <v>20170121</v>
      </c>
      <c r="B479" s="65" t="s">
        <v>133</v>
      </c>
      <c r="C479" s="65" t="s">
        <v>130</v>
      </c>
      <c r="D479" s="65" t="s">
        <v>134</v>
      </c>
      <c r="E479" s="65" t="s">
        <v>133</v>
      </c>
    </row>
    <row r="480" spans="1:5" x14ac:dyDescent="0.45">
      <c r="A480">
        <v>20170122</v>
      </c>
      <c r="B480" s="65" t="s">
        <v>133</v>
      </c>
      <c r="C480" s="65" t="s">
        <v>130</v>
      </c>
      <c r="D480" s="65" t="s">
        <v>134</v>
      </c>
      <c r="E480" s="65" t="s">
        <v>133</v>
      </c>
    </row>
    <row r="481" spans="1:5" x14ac:dyDescent="0.45">
      <c r="A481">
        <v>20170127</v>
      </c>
      <c r="B481" s="65" t="s">
        <v>135</v>
      </c>
      <c r="C481" s="65" t="s">
        <v>130</v>
      </c>
      <c r="D481" s="65" t="s">
        <v>131</v>
      </c>
      <c r="E481" s="65" t="s">
        <v>132</v>
      </c>
    </row>
    <row r="482" spans="1:5" x14ac:dyDescent="0.45">
      <c r="A482">
        <v>20170128</v>
      </c>
      <c r="B482" s="65" t="s">
        <v>137</v>
      </c>
      <c r="C482" s="65" t="s">
        <v>130</v>
      </c>
      <c r="D482" s="65" t="s">
        <v>131</v>
      </c>
      <c r="E482" s="65" t="s">
        <v>181</v>
      </c>
    </row>
    <row r="483" spans="1:5" x14ac:dyDescent="0.45">
      <c r="A483">
        <v>20170129</v>
      </c>
      <c r="B483" s="65" t="s">
        <v>137</v>
      </c>
      <c r="C483" s="65" t="s">
        <v>130</v>
      </c>
      <c r="D483" s="65" t="s">
        <v>131</v>
      </c>
      <c r="E483" s="65" t="s">
        <v>181</v>
      </c>
    </row>
    <row r="484" spans="1:5" x14ac:dyDescent="0.45">
      <c r="A484">
        <v>20170130</v>
      </c>
      <c r="B484" s="65" t="s">
        <v>137</v>
      </c>
      <c r="C484" s="65" t="s">
        <v>130</v>
      </c>
      <c r="D484" s="65" t="s">
        <v>131</v>
      </c>
      <c r="E484" s="65" t="s">
        <v>181</v>
      </c>
    </row>
    <row r="485" spans="1:5" x14ac:dyDescent="0.45">
      <c r="A485">
        <v>20170131</v>
      </c>
      <c r="B485" s="65" t="s">
        <v>133</v>
      </c>
      <c r="C485" s="65" t="s">
        <v>130</v>
      </c>
      <c r="D485" s="65" t="s">
        <v>139</v>
      </c>
      <c r="E485" s="65" t="s">
        <v>133</v>
      </c>
    </row>
    <row r="486" spans="1:5" x14ac:dyDescent="0.45">
      <c r="A486">
        <v>20170201</v>
      </c>
      <c r="B486" s="65" t="s">
        <v>133</v>
      </c>
      <c r="C486" s="65" t="s">
        <v>130</v>
      </c>
      <c r="D486" s="65" t="s">
        <v>139</v>
      </c>
      <c r="E486" s="65" t="s">
        <v>133</v>
      </c>
    </row>
    <row r="487" spans="1:5" x14ac:dyDescent="0.45">
      <c r="A487">
        <v>20170204</v>
      </c>
      <c r="B487" s="65" t="s">
        <v>133</v>
      </c>
      <c r="C487" s="65" t="s">
        <v>130</v>
      </c>
      <c r="D487" s="65" t="s">
        <v>134</v>
      </c>
      <c r="E487" s="65" t="s">
        <v>133</v>
      </c>
    </row>
    <row r="488" spans="1:5" x14ac:dyDescent="0.45">
      <c r="A488">
        <v>20170205</v>
      </c>
      <c r="B488" s="65" t="s">
        <v>133</v>
      </c>
      <c r="C488" s="65" t="s">
        <v>130</v>
      </c>
      <c r="D488" s="65" t="s">
        <v>134</v>
      </c>
      <c r="E488" s="65" t="s">
        <v>133</v>
      </c>
    </row>
    <row r="489" spans="1:5" x14ac:dyDescent="0.45">
      <c r="A489">
        <v>20170211</v>
      </c>
      <c r="B489" s="65" t="s">
        <v>133</v>
      </c>
      <c r="C489" s="65" t="s">
        <v>130</v>
      </c>
      <c r="D489" s="65" t="s">
        <v>134</v>
      </c>
      <c r="E489" s="65" t="s">
        <v>133</v>
      </c>
    </row>
    <row r="490" spans="1:5" x14ac:dyDescent="0.45">
      <c r="A490">
        <v>20170212</v>
      </c>
      <c r="B490" s="65" t="s">
        <v>133</v>
      </c>
      <c r="C490" s="65" t="s">
        <v>130</v>
      </c>
      <c r="D490" s="65" t="s">
        <v>134</v>
      </c>
      <c r="E490" s="65" t="s">
        <v>133</v>
      </c>
    </row>
    <row r="491" spans="1:5" x14ac:dyDescent="0.45">
      <c r="A491">
        <v>20170218</v>
      </c>
      <c r="B491" s="65" t="s">
        <v>133</v>
      </c>
      <c r="C491" s="65" t="s">
        <v>142</v>
      </c>
      <c r="D491" s="65" t="s">
        <v>143</v>
      </c>
      <c r="E491" s="65" t="s">
        <v>133</v>
      </c>
    </row>
    <row r="492" spans="1:5" x14ac:dyDescent="0.45">
      <c r="A492">
        <v>20170219</v>
      </c>
      <c r="B492" s="65" t="s">
        <v>133</v>
      </c>
      <c r="C492" s="65" t="s">
        <v>130</v>
      </c>
      <c r="D492" s="65" t="s">
        <v>134</v>
      </c>
      <c r="E492" s="65" t="s">
        <v>133</v>
      </c>
    </row>
    <row r="493" spans="1:5" x14ac:dyDescent="0.45">
      <c r="A493">
        <v>20170225</v>
      </c>
      <c r="B493" s="65" t="s">
        <v>133</v>
      </c>
      <c r="C493" s="65" t="s">
        <v>130</v>
      </c>
      <c r="D493" s="65" t="s">
        <v>134</v>
      </c>
      <c r="E493" s="65" t="s">
        <v>133</v>
      </c>
    </row>
    <row r="494" spans="1:5" x14ac:dyDescent="0.45">
      <c r="A494">
        <v>20170226</v>
      </c>
      <c r="B494" s="65" t="s">
        <v>133</v>
      </c>
      <c r="C494" s="65" t="s">
        <v>130</v>
      </c>
      <c r="D494" s="65" t="s">
        <v>134</v>
      </c>
      <c r="E494" s="65" t="s">
        <v>133</v>
      </c>
    </row>
    <row r="495" spans="1:5" x14ac:dyDescent="0.45">
      <c r="A495">
        <v>20170227</v>
      </c>
      <c r="B495" s="65" t="s">
        <v>133</v>
      </c>
      <c r="C495" s="65" t="s">
        <v>130</v>
      </c>
      <c r="D495" s="65" t="s">
        <v>140</v>
      </c>
      <c r="E495" s="65" t="s">
        <v>133</v>
      </c>
    </row>
    <row r="496" spans="1:5" x14ac:dyDescent="0.45">
      <c r="A496">
        <v>20170228</v>
      </c>
      <c r="B496" s="65" t="s">
        <v>145</v>
      </c>
      <c r="C496" s="65" t="s">
        <v>130</v>
      </c>
      <c r="D496" s="65" t="s">
        <v>131</v>
      </c>
      <c r="E496" s="65" t="s">
        <v>182</v>
      </c>
    </row>
    <row r="497" spans="1:5" x14ac:dyDescent="0.45">
      <c r="A497">
        <v>20170304</v>
      </c>
      <c r="B497" s="65" t="s">
        <v>133</v>
      </c>
      <c r="C497" s="65" t="s">
        <v>130</v>
      </c>
      <c r="D497" s="65" t="s">
        <v>134</v>
      </c>
      <c r="E497" s="65" t="s">
        <v>133</v>
      </c>
    </row>
    <row r="498" spans="1:5" x14ac:dyDescent="0.45">
      <c r="A498">
        <v>20170305</v>
      </c>
      <c r="B498" s="65" t="s">
        <v>133</v>
      </c>
      <c r="C498" s="65" t="s">
        <v>130</v>
      </c>
      <c r="D498" s="65" t="s">
        <v>134</v>
      </c>
      <c r="E498" s="65" t="s">
        <v>133</v>
      </c>
    </row>
    <row r="499" spans="1:5" x14ac:dyDescent="0.45">
      <c r="A499">
        <v>20170311</v>
      </c>
      <c r="B499" s="65" t="s">
        <v>133</v>
      </c>
      <c r="C499" s="65" t="s">
        <v>130</v>
      </c>
      <c r="D499" s="65" t="s">
        <v>134</v>
      </c>
      <c r="E499" s="65" t="s">
        <v>133</v>
      </c>
    </row>
    <row r="500" spans="1:5" x14ac:dyDescent="0.45">
      <c r="A500">
        <v>20170312</v>
      </c>
      <c r="B500" s="65" t="s">
        <v>133</v>
      </c>
      <c r="C500" s="65" t="s">
        <v>130</v>
      </c>
      <c r="D500" s="65" t="s">
        <v>134</v>
      </c>
      <c r="E500" s="65" t="s">
        <v>133</v>
      </c>
    </row>
    <row r="501" spans="1:5" x14ac:dyDescent="0.45">
      <c r="A501">
        <v>20170318</v>
      </c>
      <c r="B501" s="65" t="s">
        <v>133</v>
      </c>
      <c r="C501" s="65" t="s">
        <v>130</v>
      </c>
      <c r="D501" s="65" t="s">
        <v>134</v>
      </c>
      <c r="E501" s="65" t="s">
        <v>133</v>
      </c>
    </row>
    <row r="502" spans="1:5" x14ac:dyDescent="0.45">
      <c r="A502">
        <v>20170319</v>
      </c>
      <c r="B502" s="65" t="s">
        <v>133</v>
      </c>
      <c r="C502" s="65" t="s">
        <v>130</v>
      </c>
      <c r="D502" s="65" t="s">
        <v>134</v>
      </c>
      <c r="E502" s="65" t="s">
        <v>133</v>
      </c>
    </row>
    <row r="503" spans="1:5" x14ac:dyDescent="0.45">
      <c r="A503">
        <v>20170325</v>
      </c>
      <c r="B503" s="65" t="s">
        <v>133</v>
      </c>
      <c r="C503" s="65" t="s">
        <v>130</v>
      </c>
      <c r="D503" s="65" t="s">
        <v>134</v>
      </c>
      <c r="E503" s="65" t="s">
        <v>133</v>
      </c>
    </row>
    <row r="504" spans="1:5" x14ac:dyDescent="0.45">
      <c r="A504">
        <v>20170326</v>
      </c>
      <c r="B504" s="65" t="s">
        <v>133</v>
      </c>
      <c r="C504" s="65" t="s">
        <v>130</v>
      </c>
      <c r="D504" s="65" t="s">
        <v>134</v>
      </c>
      <c r="E504" s="65" t="s">
        <v>133</v>
      </c>
    </row>
    <row r="505" spans="1:5" x14ac:dyDescent="0.45">
      <c r="A505">
        <v>20170401</v>
      </c>
      <c r="B505" s="65" t="s">
        <v>133</v>
      </c>
      <c r="C505" s="65" t="s">
        <v>130</v>
      </c>
      <c r="D505" s="65" t="s">
        <v>134</v>
      </c>
      <c r="E505" s="65" t="s">
        <v>133</v>
      </c>
    </row>
    <row r="506" spans="1:5" x14ac:dyDescent="0.45">
      <c r="A506">
        <v>20170402</v>
      </c>
      <c r="B506" s="65" t="s">
        <v>133</v>
      </c>
      <c r="C506" s="65" t="s">
        <v>130</v>
      </c>
      <c r="D506" s="65" t="s">
        <v>134</v>
      </c>
      <c r="E506" s="65" t="s">
        <v>133</v>
      </c>
    </row>
    <row r="507" spans="1:5" x14ac:dyDescent="0.45">
      <c r="A507">
        <v>20170403</v>
      </c>
      <c r="B507" s="65" t="s">
        <v>133</v>
      </c>
      <c r="C507" s="65" t="s">
        <v>130</v>
      </c>
      <c r="D507" s="65" t="s">
        <v>131</v>
      </c>
      <c r="E507" s="65" t="s">
        <v>132</v>
      </c>
    </row>
    <row r="508" spans="1:5" x14ac:dyDescent="0.45">
      <c r="A508">
        <v>20170404</v>
      </c>
      <c r="B508" s="65" t="s">
        <v>150</v>
      </c>
      <c r="C508" s="65" t="s">
        <v>130</v>
      </c>
      <c r="D508" s="65" t="s">
        <v>131</v>
      </c>
      <c r="E508" s="65" t="s">
        <v>183</v>
      </c>
    </row>
    <row r="509" spans="1:5" x14ac:dyDescent="0.45">
      <c r="A509">
        <v>20170408</v>
      </c>
      <c r="B509" s="65" t="s">
        <v>133</v>
      </c>
      <c r="C509" s="65" t="s">
        <v>130</v>
      </c>
      <c r="D509" s="65" t="s">
        <v>134</v>
      </c>
      <c r="E509" s="65" t="s">
        <v>133</v>
      </c>
    </row>
    <row r="510" spans="1:5" x14ac:dyDescent="0.45">
      <c r="A510">
        <v>20170409</v>
      </c>
      <c r="B510" s="65" t="s">
        <v>133</v>
      </c>
      <c r="C510" s="65" t="s">
        <v>130</v>
      </c>
      <c r="D510" s="65" t="s">
        <v>134</v>
      </c>
      <c r="E510" s="65" t="s">
        <v>133</v>
      </c>
    </row>
    <row r="511" spans="1:5" x14ac:dyDescent="0.45">
      <c r="A511">
        <v>20170415</v>
      </c>
      <c r="B511" s="65" t="s">
        <v>133</v>
      </c>
      <c r="C511" s="65" t="s">
        <v>130</v>
      </c>
      <c r="D511" s="65" t="s">
        <v>134</v>
      </c>
      <c r="E511" s="65" t="s">
        <v>133</v>
      </c>
    </row>
    <row r="512" spans="1:5" x14ac:dyDescent="0.45">
      <c r="A512">
        <v>20170416</v>
      </c>
      <c r="B512" s="65" t="s">
        <v>133</v>
      </c>
      <c r="C512" s="65" t="s">
        <v>130</v>
      </c>
      <c r="D512" s="65" t="s">
        <v>134</v>
      </c>
      <c r="E512" s="65" t="s">
        <v>133</v>
      </c>
    </row>
    <row r="513" spans="1:5" x14ac:dyDescent="0.45">
      <c r="A513">
        <v>20170422</v>
      </c>
      <c r="B513" s="65" t="s">
        <v>133</v>
      </c>
      <c r="C513" s="65" t="s">
        <v>130</v>
      </c>
      <c r="D513" s="65" t="s">
        <v>134</v>
      </c>
      <c r="E513" s="65" t="s">
        <v>133</v>
      </c>
    </row>
    <row r="514" spans="1:5" x14ac:dyDescent="0.45">
      <c r="A514">
        <v>20170423</v>
      </c>
      <c r="B514" s="65" t="s">
        <v>133</v>
      </c>
      <c r="C514" s="65" t="s">
        <v>130</v>
      </c>
      <c r="D514" s="65" t="s">
        <v>134</v>
      </c>
      <c r="E514" s="65" t="s">
        <v>133</v>
      </c>
    </row>
    <row r="515" spans="1:5" x14ac:dyDescent="0.45">
      <c r="A515">
        <v>20170429</v>
      </c>
      <c r="B515" s="65" t="s">
        <v>133</v>
      </c>
      <c r="C515" s="65" t="s">
        <v>130</v>
      </c>
      <c r="D515" s="65" t="s">
        <v>134</v>
      </c>
      <c r="E515" s="65" t="s">
        <v>133</v>
      </c>
    </row>
    <row r="516" spans="1:5" x14ac:dyDescent="0.45">
      <c r="A516">
        <v>20170430</v>
      </c>
      <c r="B516" s="65" t="s">
        <v>133</v>
      </c>
      <c r="C516" s="65" t="s">
        <v>130</v>
      </c>
      <c r="D516" s="65" t="s">
        <v>134</v>
      </c>
      <c r="E516" s="65" t="s">
        <v>133</v>
      </c>
    </row>
    <row r="517" spans="1:5" x14ac:dyDescent="0.45">
      <c r="A517">
        <v>20170506</v>
      </c>
      <c r="B517" s="65" t="s">
        <v>133</v>
      </c>
      <c r="C517" s="65" t="s">
        <v>130</v>
      </c>
      <c r="D517" s="65" t="s">
        <v>134</v>
      </c>
      <c r="E517" s="65" t="s">
        <v>133</v>
      </c>
    </row>
    <row r="518" spans="1:5" x14ac:dyDescent="0.45">
      <c r="A518">
        <v>20170507</v>
      </c>
      <c r="B518" s="65" t="s">
        <v>133</v>
      </c>
      <c r="C518" s="65" t="s">
        <v>130</v>
      </c>
      <c r="D518" s="65" t="s">
        <v>134</v>
      </c>
      <c r="E518" s="65" t="s">
        <v>133</v>
      </c>
    </row>
    <row r="519" spans="1:5" x14ac:dyDescent="0.45">
      <c r="A519">
        <v>20170513</v>
      </c>
      <c r="B519" s="65" t="s">
        <v>133</v>
      </c>
      <c r="C519" s="65" t="s">
        <v>130</v>
      </c>
      <c r="D519" s="65" t="s">
        <v>134</v>
      </c>
      <c r="E519" s="65" t="s">
        <v>133</v>
      </c>
    </row>
    <row r="520" spans="1:5" x14ac:dyDescent="0.45">
      <c r="A520">
        <v>20170514</v>
      </c>
      <c r="B520" s="65" t="s">
        <v>133</v>
      </c>
      <c r="C520" s="65" t="s">
        <v>130</v>
      </c>
      <c r="D520" s="65" t="s">
        <v>134</v>
      </c>
      <c r="E520" s="65" t="s">
        <v>133</v>
      </c>
    </row>
    <row r="521" spans="1:5" x14ac:dyDescent="0.45">
      <c r="A521">
        <v>20170520</v>
      </c>
      <c r="B521" s="65" t="s">
        <v>133</v>
      </c>
      <c r="C521" s="65" t="s">
        <v>130</v>
      </c>
      <c r="D521" s="65" t="s">
        <v>134</v>
      </c>
      <c r="E521" s="65" t="s">
        <v>133</v>
      </c>
    </row>
    <row r="522" spans="1:5" x14ac:dyDescent="0.45">
      <c r="A522">
        <v>20170521</v>
      </c>
      <c r="B522" s="65" t="s">
        <v>133</v>
      </c>
      <c r="C522" s="65" t="s">
        <v>130</v>
      </c>
      <c r="D522" s="65" t="s">
        <v>134</v>
      </c>
      <c r="E522" s="65" t="s">
        <v>133</v>
      </c>
    </row>
    <row r="523" spans="1:5" x14ac:dyDescent="0.45">
      <c r="A523">
        <v>20170527</v>
      </c>
      <c r="B523" s="65" t="s">
        <v>133</v>
      </c>
      <c r="C523" s="65" t="s">
        <v>130</v>
      </c>
      <c r="D523" s="65" t="s">
        <v>134</v>
      </c>
      <c r="E523" s="65" t="s">
        <v>133</v>
      </c>
    </row>
    <row r="524" spans="1:5" x14ac:dyDescent="0.45">
      <c r="A524">
        <v>20170528</v>
      </c>
      <c r="B524" s="65" t="s">
        <v>133</v>
      </c>
      <c r="C524" s="65" t="s">
        <v>130</v>
      </c>
      <c r="D524" s="65" t="s">
        <v>134</v>
      </c>
      <c r="E524" s="65" t="s">
        <v>133</v>
      </c>
    </row>
    <row r="525" spans="1:5" x14ac:dyDescent="0.45">
      <c r="A525">
        <v>20170529</v>
      </c>
      <c r="B525" s="65" t="s">
        <v>133</v>
      </c>
      <c r="C525" s="65" t="s">
        <v>130</v>
      </c>
      <c r="D525" s="65" t="s">
        <v>140</v>
      </c>
      <c r="E525" s="65" t="s">
        <v>133</v>
      </c>
    </row>
    <row r="526" spans="1:5" x14ac:dyDescent="0.45">
      <c r="A526">
        <v>20170530</v>
      </c>
      <c r="B526" s="65" t="s">
        <v>153</v>
      </c>
      <c r="C526" s="65" t="s">
        <v>130</v>
      </c>
      <c r="D526" s="65" t="s">
        <v>131</v>
      </c>
      <c r="E526" s="65" t="s">
        <v>184</v>
      </c>
    </row>
    <row r="527" spans="1:5" x14ac:dyDescent="0.45">
      <c r="A527">
        <v>20170603</v>
      </c>
      <c r="B527" s="65" t="s">
        <v>133</v>
      </c>
      <c r="C527" s="65" t="s">
        <v>142</v>
      </c>
      <c r="D527" s="65" t="s">
        <v>143</v>
      </c>
      <c r="E527" s="65" t="s">
        <v>133</v>
      </c>
    </row>
    <row r="528" spans="1:5" x14ac:dyDescent="0.45">
      <c r="A528">
        <v>20170604</v>
      </c>
      <c r="B528" s="65" t="s">
        <v>133</v>
      </c>
      <c r="C528" s="65" t="s">
        <v>130</v>
      </c>
      <c r="D528" s="65" t="s">
        <v>134</v>
      </c>
      <c r="E528" s="65" t="s">
        <v>133</v>
      </c>
    </row>
    <row r="529" spans="1:5" x14ac:dyDescent="0.45">
      <c r="A529">
        <v>20170610</v>
      </c>
      <c r="B529" s="65" t="s">
        <v>133</v>
      </c>
      <c r="C529" s="65" t="s">
        <v>130</v>
      </c>
      <c r="D529" s="65" t="s">
        <v>134</v>
      </c>
      <c r="E529" s="65" t="s">
        <v>133</v>
      </c>
    </row>
    <row r="530" spans="1:5" x14ac:dyDescent="0.45">
      <c r="A530">
        <v>20170611</v>
      </c>
      <c r="B530" s="65" t="s">
        <v>133</v>
      </c>
      <c r="C530" s="65" t="s">
        <v>130</v>
      </c>
      <c r="D530" s="65" t="s">
        <v>134</v>
      </c>
      <c r="E530" s="65" t="s">
        <v>133</v>
      </c>
    </row>
    <row r="531" spans="1:5" x14ac:dyDescent="0.45">
      <c r="A531">
        <v>20170617</v>
      </c>
      <c r="B531" s="65" t="s">
        <v>133</v>
      </c>
      <c r="C531" s="65" t="s">
        <v>130</v>
      </c>
      <c r="D531" s="65" t="s">
        <v>134</v>
      </c>
      <c r="E531" s="65" t="s">
        <v>133</v>
      </c>
    </row>
    <row r="532" spans="1:5" x14ac:dyDescent="0.45">
      <c r="A532">
        <v>20170618</v>
      </c>
      <c r="B532" s="65" t="s">
        <v>133</v>
      </c>
      <c r="C532" s="65" t="s">
        <v>130</v>
      </c>
      <c r="D532" s="65" t="s">
        <v>134</v>
      </c>
      <c r="E532" s="65" t="s">
        <v>133</v>
      </c>
    </row>
    <row r="533" spans="1:5" x14ac:dyDescent="0.45">
      <c r="A533">
        <v>20170624</v>
      </c>
      <c r="B533" s="65" t="s">
        <v>133</v>
      </c>
      <c r="C533" s="65" t="s">
        <v>130</v>
      </c>
      <c r="D533" s="65" t="s">
        <v>134</v>
      </c>
      <c r="E533" s="65" t="s">
        <v>133</v>
      </c>
    </row>
    <row r="534" spans="1:5" x14ac:dyDescent="0.45">
      <c r="A534">
        <v>20170625</v>
      </c>
      <c r="B534" s="65" t="s">
        <v>133</v>
      </c>
      <c r="C534" s="65" t="s">
        <v>130</v>
      </c>
      <c r="D534" s="65" t="s">
        <v>134</v>
      </c>
      <c r="E534" s="65" t="s">
        <v>133</v>
      </c>
    </row>
    <row r="535" spans="1:5" x14ac:dyDescent="0.45">
      <c r="A535">
        <v>20170701</v>
      </c>
      <c r="B535" s="65" t="s">
        <v>133</v>
      </c>
      <c r="C535" s="65" t="s">
        <v>130</v>
      </c>
      <c r="D535" s="65" t="s">
        <v>134</v>
      </c>
      <c r="E535" s="65" t="s">
        <v>133</v>
      </c>
    </row>
    <row r="536" spans="1:5" x14ac:dyDescent="0.45">
      <c r="A536">
        <v>20170702</v>
      </c>
      <c r="B536" s="65" t="s">
        <v>133</v>
      </c>
      <c r="C536" s="65" t="s">
        <v>130</v>
      </c>
      <c r="D536" s="65" t="s">
        <v>134</v>
      </c>
      <c r="E536" s="65" t="s">
        <v>133</v>
      </c>
    </row>
    <row r="537" spans="1:5" x14ac:dyDescent="0.45">
      <c r="A537">
        <v>20170708</v>
      </c>
      <c r="B537" s="65" t="s">
        <v>133</v>
      </c>
      <c r="C537" s="65" t="s">
        <v>130</v>
      </c>
      <c r="D537" s="65" t="s">
        <v>134</v>
      </c>
      <c r="E537" s="65" t="s">
        <v>133</v>
      </c>
    </row>
    <row r="538" spans="1:5" x14ac:dyDescent="0.45">
      <c r="A538">
        <v>20170709</v>
      </c>
      <c r="B538" s="65" t="s">
        <v>133</v>
      </c>
      <c r="C538" s="65" t="s">
        <v>130</v>
      </c>
      <c r="D538" s="65" t="s">
        <v>134</v>
      </c>
      <c r="E538" s="65" t="s">
        <v>133</v>
      </c>
    </row>
    <row r="539" spans="1:5" x14ac:dyDescent="0.45">
      <c r="A539">
        <v>20170715</v>
      </c>
      <c r="B539" s="65" t="s">
        <v>133</v>
      </c>
      <c r="C539" s="65" t="s">
        <v>130</v>
      </c>
      <c r="D539" s="65" t="s">
        <v>134</v>
      </c>
      <c r="E539" s="65" t="s">
        <v>133</v>
      </c>
    </row>
    <row r="540" spans="1:5" x14ac:dyDescent="0.45">
      <c r="A540">
        <v>20170716</v>
      </c>
      <c r="B540" s="65" t="s">
        <v>133</v>
      </c>
      <c r="C540" s="65" t="s">
        <v>130</v>
      </c>
      <c r="D540" s="65" t="s">
        <v>134</v>
      </c>
      <c r="E540" s="65" t="s">
        <v>133</v>
      </c>
    </row>
    <row r="541" spans="1:5" x14ac:dyDescent="0.45">
      <c r="A541">
        <v>20170722</v>
      </c>
      <c r="B541" s="65" t="s">
        <v>133</v>
      </c>
      <c r="C541" s="65" t="s">
        <v>130</v>
      </c>
      <c r="D541" s="65" t="s">
        <v>134</v>
      </c>
      <c r="E541" s="65" t="s">
        <v>133</v>
      </c>
    </row>
    <row r="542" spans="1:5" x14ac:dyDescent="0.45">
      <c r="A542">
        <v>20170723</v>
      </c>
      <c r="B542" s="65" t="s">
        <v>133</v>
      </c>
      <c r="C542" s="65" t="s">
        <v>130</v>
      </c>
      <c r="D542" s="65" t="s">
        <v>134</v>
      </c>
      <c r="E542" s="65" t="s">
        <v>133</v>
      </c>
    </row>
    <row r="543" spans="1:5" x14ac:dyDescent="0.45">
      <c r="A543">
        <v>20170729</v>
      </c>
      <c r="B543" s="65" t="s">
        <v>133</v>
      </c>
      <c r="C543" s="65" t="s">
        <v>130</v>
      </c>
      <c r="D543" s="65" t="s">
        <v>134</v>
      </c>
      <c r="E543" s="65" t="s">
        <v>133</v>
      </c>
    </row>
    <row r="544" spans="1:5" x14ac:dyDescent="0.45">
      <c r="A544">
        <v>20170730</v>
      </c>
      <c r="B544" s="65" t="s">
        <v>133</v>
      </c>
      <c r="C544" s="65" t="s">
        <v>130</v>
      </c>
      <c r="D544" s="65" t="s">
        <v>134</v>
      </c>
      <c r="E544" s="65" t="s">
        <v>133</v>
      </c>
    </row>
    <row r="545" spans="1:5" x14ac:dyDescent="0.45">
      <c r="A545">
        <v>20170805</v>
      </c>
      <c r="B545" s="65" t="s">
        <v>133</v>
      </c>
      <c r="C545" s="65" t="s">
        <v>130</v>
      </c>
      <c r="D545" s="65" t="s">
        <v>134</v>
      </c>
      <c r="E545" s="65" t="s">
        <v>133</v>
      </c>
    </row>
    <row r="546" spans="1:5" x14ac:dyDescent="0.45">
      <c r="A546">
        <v>20170806</v>
      </c>
      <c r="B546" s="65" t="s">
        <v>133</v>
      </c>
      <c r="C546" s="65" t="s">
        <v>130</v>
      </c>
      <c r="D546" s="65" t="s">
        <v>134</v>
      </c>
      <c r="E546" s="65" t="s">
        <v>133</v>
      </c>
    </row>
    <row r="547" spans="1:5" x14ac:dyDescent="0.45">
      <c r="A547">
        <v>20170812</v>
      </c>
      <c r="B547" s="65" t="s">
        <v>133</v>
      </c>
      <c r="C547" s="65" t="s">
        <v>130</v>
      </c>
      <c r="D547" s="65" t="s">
        <v>134</v>
      </c>
      <c r="E547" s="65" t="s">
        <v>133</v>
      </c>
    </row>
    <row r="548" spans="1:5" x14ac:dyDescent="0.45">
      <c r="A548">
        <v>20170813</v>
      </c>
      <c r="B548" s="65" t="s">
        <v>133</v>
      </c>
      <c r="C548" s="65" t="s">
        <v>130</v>
      </c>
      <c r="D548" s="65" t="s">
        <v>134</v>
      </c>
      <c r="E548" s="65" t="s">
        <v>133</v>
      </c>
    </row>
    <row r="549" spans="1:5" x14ac:dyDescent="0.45">
      <c r="A549">
        <v>20170819</v>
      </c>
      <c r="B549" s="65" t="s">
        <v>133</v>
      </c>
      <c r="C549" s="65" t="s">
        <v>130</v>
      </c>
      <c r="D549" s="65" t="s">
        <v>134</v>
      </c>
      <c r="E549" s="65" t="s">
        <v>133</v>
      </c>
    </row>
    <row r="550" spans="1:5" x14ac:dyDescent="0.45">
      <c r="A550">
        <v>20170820</v>
      </c>
      <c r="B550" s="65" t="s">
        <v>133</v>
      </c>
      <c r="C550" s="65" t="s">
        <v>130</v>
      </c>
      <c r="D550" s="65" t="s">
        <v>134</v>
      </c>
      <c r="E550" s="65" t="s">
        <v>133</v>
      </c>
    </row>
    <row r="551" spans="1:5" x14ac:dyDescent="0.45">
      <c r="A551">
        <v>20170826</v>
      </c>
      <c r="B551" s="65" t="s">
        <v>133</v>
      </c>
      <c r="C551" s="65" t="s">
        <v>130</v>
      </c>
      <c r="D551" s="65" t="s">
        <v>134</v>
      </c>
      <c r="E551" s="65" t="s">
        <v>133</v>
      </c>
    </row>
    <row r="552" spans="1:5" x14ac:dyDescent="0.45">
      <c r="A552">
        <v>20170827</v>
      </c>
      <c r="B552" s="65" t="s">
        <v>133</v>
      </c>
      <c r="C552" s="65" t="s">
        <v>130</v>
      </c>
      <c r="D552" s="65" t="s">
        <v>134</v>
      </c>
      <c r="E552" s="65" t="s">
        <v>133</v>
      </c>
    </row>
    <row r="553" spans="1:5" x14ac:dyDescent="0.45">
      <c r="A553">
        <v>20170902</v>
      </c>
      <c r="B553" s="65" t="s">
        <v>133</v>
      </c>
      <c r="C553" s="65" t="s">
        <v>130</v>
      </c>
      <c r="D553" s="65" t="s">
        <v>134</v>
      </c>
      <c r="E553" s="65" t="s">
        <v>133</v>
      </c>
    </row>
    <row r="554" spans="1:5" x14ac:dyDescent="0.45">
      <c r="A554">
        <v>20170909</v>
      </c>
      <c r="B554" s="65" t="s">
        <v>133</v>
      </c>
      <c r="C554" s="65" t="s">
        <v>130</v>
      </c>
      <c r="D554" s="65" t="s">
        <v>134</v>
      </c>
      <c r="E554" s="65" t="s">
        <v>133</v>
      </c>
    </row>
    <row r="555" spans="1:5" x14ac:dyDescent="0.45">
      <c r="A555">
        <v>20170910</v>
      </c>
      <c r="B555" s="65" t="s">
        <v>133</v>
      </c>
      <c r="C555" s="65" t="s">
        <v>130</v>
      </c>
      <c r="D555" s="65" t="s">
        <v>134</v>
      </c>
      <c r="E555" s="65" t="s">
        <v>133</v>
      </c>
    </row>
    <row r="556" spans="1:5" x14ac:dyDescent="0.45">
      <c r="A556">
        <v>20170916</v>
      </c>
      <c r="B556" s="65" t="s">
        <v>133</v>
      </c>
      <c r="C556" s="65" t="s">
        <v>130</v>
      </c>
      <c r="D556" s="65" t="s">
        <v>134</v>
      </c>
      <c r="E556" s="65" t="s">
        <v>133</v>
      </c>
    </row>
    <row r="557" spans="1:5" x14ac:dyDescent="0.45">
      <c r="A557">
        <v>20170917</v>
      </c>
      <c r="B557" s="65" t="s">
        <v>133</v>
      </c>
      <c r="C557" s="65" t="s">
        <v>130</v>
      </c>
      <c r="D557" s="65" t="s">
        <v>134</v>
      </c>
      <c r="E557" s="65" t="s">
        <v>133</v>
      </c>
    </row>
    <row r="558" spans="1:5" x14ac:dyDescent="0.45">
      <c r="A558">
        <v>20170923</v>
      </c>
      <c r="B558" s="65" t="s">
        <v>133</v>
      </c>
      <c r="C558" s="65" t="s">
        <v>130</v>
      </c>
      <c r="D558" s="65" t="s">
        <v>134</v>
      </c>
      <c r="E558" s="65" t="s">
        <v>133</v>
      </c>
    </row>
    <row r="559" spans="1:5" x14ac:dyDescent="0.45">
      <c r="A559">
        <v>20170924</v>
      </c>
      <c r="B559" s="65" t="s">
        <v>133</v>
      </c>
      <c r="C559" s="65" t="s">
        <v>130</v>
      </c>
      <c r="D559" s="65" t="s">
        <v>134</v>
      </c>
      <c r="E559" s="65" t="s">
        <v>133</v>
      </c>
    </row>
    <row r="560" spans="1:5" x14ac:dyDescent="0.45">
      <c r="A560">
        <v>20170930</v>
      </c>
      <c r="B560" s="65" t="s">
        <v>133</v>
      </c>
      <c r="C560" s="65" t="s">
        <v>142</v>
      </c>
      <c r="D560" s="65" t="s">
        <v>143</v>
      </c>
      <c r="E560" s="65" t="s">
        <v>133</v>
      </c>
    </row>
    <row r="561" spans="1:5" x14ac:dyDescent="0.45">
      <c r="A561">
        <v>20171001</v>
      </c>
      <c r="B561" s="65" t="s">
        <v>133</v>
      </c>
      <c r="C561" s="65" t="s">
        <v>130</v>
      </c>
      <c r="D561" s="65" t="s">
        <v>134</v>
      </c>
      <c r="E561" s="65" t="s">
        <v>133</v>
      </c>
    </row>
    <row r="562" spans="1:5" x14ac:dyDescent="0.45">
      <c r="A562">
        <v>20171004</v>
      </c>
      <c r="B562" s="65" t="s">
        <v>154</v>
      </c>
      <c r="C562" s="65" t="s">
        <v>130</v>
      </c>
      <c r="D562" s="65" t="s">
        <v>131</v>
      </c>
      <c r="E562" s="65" t="s">
        <v>132</v>
      </c>
    </row>
    <row r="563" spans="1:5" x14ac:dyDescent="0.45">
      <c r="A563">
        <v>20171007</v>
      </c>
      <c r="B563" s="65" t="s">
        <v>133</v>
      </c>
      <c r="C563" s="65" t="s">
        <v>130</v>
      </c>
      <c r="D563" s="65" t="s">
        <v>134</v>
      </c>
      <c r="E563" s="65" t="s">
        <v>133</v>
      </c>
    </row>
    <row r="564" spans="1:5" x14ac:dyDescent="0.45">
      <c r="A564">
        <v>20171008</v>
      </c>
      <c r="B564" s="65" t="s">
        <v>133</v>
      </c>
      <c r="C564" s="65" t="s">
        <v>130</v>
      </c>
      <c r="D564" s="65" t="s">
        <v>134</v>
      </c>
      <c r="E564" s="65" t="s">
        <v>133</v>
      </c>
    </row>
    <row r="565" spans="1:5" x14ac:dyDescent="0.45">
      <c r="A565">
        <v>20171009</v>
      </c>
      <c r="B565" s="65" t="s">
        <v>133</v>
      </c>
      <c r="C565" s="65" t="s">
        <v>130</v>
      </c>
      <c r="D565" s="65" t="s">
        <v>140</v>
      </c>
      <c r="E565" s="65" t="s">
        <v>133</v>
      </c>
    </row>
    <row r="566" spans="1:5" x14ac:dyDescent="0.45">
      <c r="A566">
        <v>20171010</v>
      </c>
      <c r="B566" s="65" t="s">
        <v>158</v>
      </c>
      <c r="C566" s="65" t="s">
        <v>130</v>
      </c>
      <c r="D566" s="65" t="s">
        <v>131</v>
      </c>
      <c r="E566" s="65" t="s">
        <v>185</v>
      </c>
    </row>
    <row r="567" spans="1:5" x14ac:dyDescent="0.45">
      <c r="A567">
        <v>20171014</v>
      </c>
      <c r="B567" s="65" t="s">
        <v>133</v>
      </c>
      <c r="C567" s="65" t="s">
        <v>130</v>
      </c>
      <c r="D567" s="65" t="s">
        <v>134</v>
      </c>
      <c r="E567" s="65" t="s">
        <v>133</v>
      </c>
    </row>
    <row r="568" spans="1:5" x14ac:dyDescent="0.45">
      <c r="A568">
        <v>20171015</v>
      </c>
      <c r="B568" s="65" t="s">
        <v>133</v>
      </c>
      <c r="C568" s="65" t="s">
        <v>130</v>
      </c>
      <c r="D568" s="65" t="s">
        <v>134</v>
      </c>
      <c r="E568" s="65" t="s">
        <v>133</v>
      </c>
    </row>
    <row r="569" spans="1:5" x14ac:dyDescent="0.45">
      <c r="A569">
        <v>20171021</v>
      </c>
      <c r="B569" s="65" t="s">
        <v>133</v>
      </c>
      <c r="C569" s="65" t="s">
        <v>130</v>
      </c>
      <c r="D569" s="65" t="s">
        <v>134</v>
      </c>
      <c r="E569" s="65" t="s">
        <v>133</v>
      </c>
    </row>
    <row r="570" spans="1:5" x14ac:dyDescent="0.45">
      <c r="A570">
        <v>20171022</v>
      </c>
      <c r="B570" s="65" t="s">
        <v>133</v>
      </c>
      <c r="C570" s="65" t="s">
        <v>130</v>
      </c>
      <c r="D570" s="65" t="s">
        <v>134</v>
      </c>
      <c r="E570" s="65" t="s">
        <v>133</v>
      </c>
    </row>
    <row r="571" spans="1:5" x14ac:dyDescent="0.45">
      <c r="A571">
        <v>20171028</v>
      </c>
      <c r="B571" s="65" t="s">
        <v>133</v>
      </c>
      <c r="C571" s="65" t="s">
        <v>130</v>
      </c>
      <c r="D571" s="65" t="s">
        <v>134</v>
      </c>
      <c r="E571" s="65" t="s">
        <v>133</v>
      </c>
    </row>
    <row r="572" spans="1:5" x14ac:dyDescent="0.45">
      <c r="A572">
        <v>20171029</v>
      </c>
      <c r="B572" s="65" t="s">
        <v>133</v>
      </c>
      <c r="C572" s="65" t="s">
        <v>130</v>
      </c>
      <c r="D572" s="65" t="s">
        <v>134</v>
      </c>
      <c r="E572" s="65" t="s">
        <v>133</v>
      </c>
    </row>
    <row r="573" spans="1:5" x14ac:dyDescent="0.45">
      <c r="A573">
        <v>20171104</v>
      </c>
      <c r="B573" s="65" t="s">
        <v>133</v>
      </c>
      <c r="C573" s="65" t="s">
        <v>130</v>
      </c>
      <c r="D573" s="65" t="s">
        <v>134</v>
      </c>
      <c r="E573" s="65" t="s">
        <v>133</v>
      </c>
    </row>
    <row r="574" spans="1:5" x14ac:dyDescent="0.45">
      <c r="A574">
        <v>20171105</v>
      </c>
      <c r="B574" s="65" t="s">
        <v>133</v>
      </c>
      <c r="C574" s="65" t="s">
        <v>130</v>
      </c>
      <c r="D574" s="65" t="s">
        <v>134</v>
      </c>
      <c r="E574" s="65" t="s">
        <v>133</v>
      </c>
    </row>
    <row r="575" spans="1:5" x14ac:dyDescent="0.45">
      <c r="A575">
        <v>20171111</v>
      </c>
      <c r="B575" s="65" t="s">
        <v>133</v>
      </c>
      <c r="C575" s="65" t="s">
        <v>130</v>
      </c>
      <c r="D575" s="65" t="s">
        <v>134</v>
      </c>
      <c r="E575" s="65" t="s">
        <v>133</v>
      </c>
    </row>
    <row r="576" spans="1:5" x14ac:dyDescent="0.45">
      <c r="A576">
        <v>20171112</v>
      </c>
      <c r="B576" s="65" t="s">
        <v>133</v>
      </c>
      <c r="C576" s="65" t="s">
        <v>130</v>
      </c>
      <c r="D576" s="65" t="s">
        <v>134</v>
      </c>
      <c r="E576" s="65" t="s">
        <v>133</v>
      </c>
    </row>
    <row r="577" spans="1:5" x14ac:dyDescent="0.45">
      <c r="A577">
        <v>20171118</v>
      </c>
      <c r="B577" s="65" t="s">
        <v>133</v>
      </c>
      <c r="C577" s="65" t="s">
        <v>130</v>
      </c>
      <c r="D577" s="65" t="s">
        <v>134</v>
      </c>
      <c r="E577" s="65" t="s">
        <v>133</v>
      </c>
    </row>
    <row r="578" spans="1:5" x14ac:dyDescent="0.45">
      <c r="A578">
        <v>20171119</v>
      </c>
      <c r="B578" s="65" t="s">
        <v>133</v>
      </c>
      <c r="C578" s="65" t="s">
        <v>130</v>
      </c>
      <c r="D578" s="65" t="s">
        <v>134</v>
      </c>
      <c r="E578" s="65" t="s">
        <v>133</v>
      </c>
    </row>
    <row r="579" spans="1:5" x14ac:dyDescent="0.45">
      <c r="A579">
        <v>20171125</v>
      </c>
      <c r="B579" s="65" t="s">
        <v>133</v>
      </c>
      <c r="C579" s="65" t="s">
        <v>130</v>
      </c>
      <c r="D579" s="65" t="s">
        <v>134</v>
      </c>
      <c r="E579" s="65" t="s">
        <v>133</v>
      </c>
    </row>
    <row r="580" spans="1:5" x14ac:dyDescent="0.45">
      <c r="A580">
        <v>20171126</v>
      </c>
      <c r="B580" s="65" t="s">
        <v>133</v>
      </c>
      <c r="C580" s="65" t="s">
        <v>130</v>
      </c>
      <c r="D580" s="65" t="s">
        <v>134</v>
      </c>
      <c r="E580" s="65" t="s">
        <v>133</v>
      </c>
    </row>
    <row r="581" spans="1:5" x14ac:dyDescent="0.45">
      <c r="A581">
        <v>20171202</v>
      </c>
      <c r="B581" s="65" t="s">
        <v>133</v>
      </c>
      <c r="C581" s="65" t="s">
        <v>130</v>
      </c>
      <c r="D581" s="65" t="s">
        <v>134</v>
      </c>
      <c r="E581" s="65" t="s">
        <v>133</v>
      </c>
    </row>
    <row r="582" spans="1:5" x14ac:dyDescent="0.45">
      <c r="A582">
        <v>20171203</v>
      </c>
      <c r="B582" s="65" t="s">
        <v>133</v>
      </c>
      <c r="C582" s="65" t="s">
        <v>130</v>
      </c>
      <c r="D582" s="65" t="s">
        <v>134</v>
      </c>
      <c r="E582" s="65" t="s">
        <v>133</v>
      </c>
    </row>
    <row r="583" spans="1:5" x14ac:dyDescent="0.45">
      <c r="A583">
        <v>20171209</v>
      </c>
      <c r="B583" s="65" t="s">
        <v>133</v>
      </c>
      <c r="C583" s="65" t="s">
        <v>130</v>
      </c>
      <c r="D583" s="65" t="s">
        <v>134</v>
      </c>
      <c r="E583" s="65" t="s">
        <v>133</v>
      </c>
    </row>
    <row r="584" spans="1:5" x14ac:dyDescent="0.45">
      <c r="A584">
        <v>20171210</v>
      </c>
      <c r="B584" s="65" t="s">
        <v>133</v>
      </c>
      <c r="C584" s="65" t="s">
        <v>130</v>
      </c>
      <c r="D584" s="65" t="s">
        <v>134</v>
      </c>
      <c r="E584" s="65" t="s">
        <v>133</v>
      </c>
    </row>
    <row r="585" spans="1:5" x14ac:dyDescent="0.45">
      <c r="A585">
        <v>20171216</v>
      </c>
      <c r="B585" s="65" t="s">
        <v>133</v>
      </c>
      <c r="C585" s="65" t="s">
        <v>130</v>
      </c>
      <c r="D585" s="65" t="s">
        <v>134</v>
      </c>
      <c r="E585" s="65" t="s">
        <v>133</v>
      </c>
    </row>
    <row r="586" spans="1:5" x14ac:dyDescent="0.45">
      <c r="A586">
        <v>20171217</v>
      </c>
      <c r="B586" s="65" t="s">
        <v>133</v>
      </c>
      <c r="C586" s="65" t="s">
        <v>130</v>
      </c>
      <c r="D586" s="65" t="s">
        <v>134</v>
      </c>
      <c r="E586" s="65" t="s">
        <v>133</v>
      </c>
    </row>
    <row r="587" spans="1:5" x14ac:dyDescent="0.45">
      <c r="A587">
        <v>20171223</v>
      </c>
      <c r="B587" s="65" t="s">
        <v>133</v>
      </c>
      <c r="C587" s="65" t="s">
        <v>130</v>
      </c>
      <c r="D587" s="65" t="s">
        <v>134</v>
      </c>
      <c r="E587" s="65" t="s">
        <v>133</v>
      </c>
    </row>
    <row r="588" spans="1:5" x14ac:dyDescent="0.45">
      <c r="A588">
        <v>20171224</v>
      </c>
      <c r="B588" s="65" t="s">
        <v>133</v>
      </c>
      <c r="C588" s="65" t="s">
        <v>130</v>
      </c>
      <c r="D588" s="65" t="s">
        <v>134</v>
      </c>
      <c r="E588" s="65" t="s">
        <v>133</v>
      </c>
    </row>
    <row r="589" spans="1:5" x14ac:dyDescent="0.45">
      <c r="A589">
        <v>20171230</v>
      </c>
      <c r="B589" s="65" t="s">
        <v>133</v>
      </c>
      <c r="C589" s="65" t="s">
        <v>130</v>
      </c>
      <c r="D589" s="65" t="s">
        <v>134</v>
      </c>
      <c r="E589" s="65" t="s">
        <v>133</v>
      </c>
    </row>
    <row r="590" spans="1:5" x14ac:dyDescent="0.45">
      <c r="A590">
        <v>20171231</v>
      </c>
      <c r="B590" s="65" t="s">
        <v>133</v>
      </c>
      <c r="C590" s="65" t="s">
        <v>130</v>
      </c>
      <c r="D590" s="65" t="s">
        <v>134</v>
      </c>
      <c r="E590" s="65" t="s">
        <v>133</v>
      </c>
    </row>
    <row r="591" spans="1:5" x14ac:dyDescent="0.45">
      <c r="A591">
        <v>20180101</v>
      </c>
      <c r="B591" s="65" t="s">
        <v>129</v>
      </c>
      <c r="C591" s="65" t="s">
        <v>130</v>
      </c>
      <c r="D591" s="65" t="s">
        <v>131</v>
      </c>
      <c r="E591" s="65" t="s">
        <v>186</v>
      </c>
    </row>
    <row r="592" spans="1:5" x14ac:dyDescent="0.45">
      <c r="A592">
        <v>20180106</v>
      </c>
      <c r="B592" s="65" t="s">
        <v>133</v>
      </c>
      <c r="C592" s="65" t="s">
        <v>130</v>
      </c>
      <c r="D592" s="65" t="s">
        <v>134</v>
      </c>
      <c r="E592" s="65" t="s">
        <v>133</v>
      </c>
    </row>
    <row r="593" spans="1:5" x14ac:dyDescent="0.45">
      <c r="A593">
        <v>20180107</v>
      </c>
      <c r="B593" s="65" t="s">
        <v>133</v>
      </c>
      <c r="C593" s="65" t="s">
        <v>130</v>
      </c>
      <c r="D593" s="65" t="s">
        <v>134</v>
      </c>
      <c r="E593" s="65" t="s">
        <v>133</v>
      </c>
    </row>
    <row r="594" spans="1:5" x14ac:dyDescent="0.45">
      <c r="A594">
        <v>20180113</v>
      </c>
      <c r="B594" s="65" t="s">
        <v>133</v>
      </c>
      <c r="C594" s="65" t="s">
        <v>130</v>
      </c>
      <c r="D594" s="65" t="s">
        <v>134</v>
      </c>
      <c r="E594" s="65" t="s">
        <v>133</v>
      </c>
    </row>
    <row r="595" spans="1:5" x14ac:dyDescent="0.45">
      <c r="A595">
        <v>20180114</v>
      </c>
      <c r="B595" s="65" t="s">
        <v>133</v>
      </c>
      <c r="C595" s="65" t="s">
        <v>130</v>
      </c>
      <c r="D595" s="65" t="s">
        <v>134</v>
      </c>
      <c r="E595" s="65" t="s">
        <v>133</v>
      </c>
    </row>
    <row r="596" spans="1:5" x14ac:dyDescent="0.45">
      <c r="A596">
        <v>20180120</v>
      </c>
      <c r="B596" s="65" t="s">
        <v>133</v>
      </c>
      <c r="C596" s="65" t="s">
        <v>130</v>
      </c>
      <c r="D596" s="65" t="s">
        <v>134</v>
      </c>
      <c r="E596" s="65" t="s">
        <v>133</v>
      </c>
    </row>
    <row r="597" spans="1:5" x14ac:dyDescent="0.45">
      <c r="A597">
        <v>20180121</v>
      </c>
      <c r="B597" s="65" t="s">
        <v>133</v>
      </c>
      <c r="C597" s="65" t="s">
        <v>130</v>
      </c>
      <c r="D597" s="65" t="s">
        <v>134</v>
      </c>
      <c r="E597" s="65" t="s">
        <v>133</v>
      </c>
    </row>
    <row r="598" spans="1:5" x14ac:dyDescent="0.45">
      <c r="A598">
        <v>20180127</v>
      </c>
      <c r="B598" s="65" t="s">
        <v>133</v>
      </c>
      <c r="C598" s="65" t="s">
        <v>130</v>
      </c>
      <c r="D598" s="65" t="s">
        <v>134</v>
      </c>
      <c r="E598" s="65" t="s">
        <v>133</v>
      </c>
    </row>
    <row r="599" spans="1:5" x14ac:dyDescent="0.45">
      <c r="A599">
        <v>20180128</v>
      </c>
      <c r="B599" s="65" t="s">
        <v>133</v>
      </c>
      <c r="C599" s="65" t="s">
        <v>130</v>
      </c>
      <c r="D599" s="65" t="s">
        <v>134</v>
      </c>
      <c r="E599" s="65" t="s">
        <v>133</v>
      </c>
    </row>
    <row r="600" spans="1:5" x14ac:dyDescent="0.45">
      <c r="A600">
        <v>20180203</v>
      </c>
      <c r="B600" s="65" t="s">
        <v>133</v>
      </c>
      <c r="C600" s="65" t="s">
        <v>130</v>
      </c>
      <c r="D600" s="65" t="s">
        <v>134</v>
      </c>
      <c r="E600" s="65" t="s">
        <v>133</v>
      </c>
    </row>
    <row r="601" spans="1:5" x14ac:dyDescent="0.45">
      <c r="A601">
        <v>20180204</v>
      </c>
      <c r="B601" s="65" t="s">
        <v>133</v>
      </c>
      <c r="C601" s="65" t="s">
        <v>130</v>
      </c>
      <c r="D601" s="65" t="s">
        <v>134</v>
      </c>
      <c r="E601" s="65" t="s">
        <v>133</v>
      </c>
    </row>
    <row r="602" spans="1:5" x14ac:dyDescent="0.45">
      <c r="A602">
        <v>20180210</v>
      </c>
      <c r="B602" s="65" t="s">
        <v>133</v>
      </c>
      <c r="C602" s="65" t="s">
        <v>130</v>
      </c>
      <c r="D602" s="65" t="s">
        <v>134</v>
      </c>
      <c r="E602" s="65" t="s">
        <v>133</v>
      </c>
    </row>
    <row r="603" spans="1:5" x14ac:dyDescent="0.45">
      <c r="A603">
        <v>20180211</v>
      </c>
      <c r="B603" s="65" t="s">
        <v>133</v>
      </c>
      <c r="C603" s="65" t="s">
        <v>130</v>
      </c>
      <c r="D603" s="65" t="s">
        <v>134</v>
      </c>
      <c r="E603" s="65" t="s">
        <v>133</v>
      </c>
    </row>
    <row r="604" spans="1:5" x14ac:dyDescent="0.45">
      <c r="A604">
        <v>20180215</v>
      </c>
      <c r="B604" s="65" t="s">
        <v>135</v>
      </c>
      <c r="C604" s="65" t="s">
        <v>130</v>
      </c>
      <c r="D604" s="65" t="s">
        <v>131</v>
      </c>
      <c r="E604" s="65" t="s">
        <v>132</v>
      </c>
    </row>
    <row r="605" spans="1:5" x14ac:dyDescent="0.45">
      <c r="A605">
        <v>20180216</v>
      </c>
      <c r="B605" s="65" t="s">
        <v>137</v>
      </c>
      <c r="C605" s="65" t="s">
        <v>130</v>
      </c>
      <c r="D605" s="65" t="s">
        <v>131</v>
      </c>
      <c r="E605" s="65" t="s">
        <v>187</v>
      </c>
    </row>
    <row r="606" spans="1:5" x14ac:dyDescent="0.45">
      <c r="A606">
        <v>20180217</v>
      </c>
      <c r="B606" s="65" t="s">
        <v>137</v>
      </c>
      <c r="C606" s="65" t="s">
        <v>130</v>
      </c>
      <c r="D606" s="65" t="s">
        <v>131</v>
      </c>
      <c r="E606" s="65" t="s">
        <v>187</v>
      </c>
    </row>
    <row r="607" spans="1:5" x14ac:dyDescent="0.45">
      <c r="A607">
        <v>20180218</v>
      </c>
      <c r="B607" s="65" t="s">
        <v>137</v>
      </c>
      <c r="C607" s="65" t="s">
        <v>130</v>
      </c>
      <c r="D607" s="65" t="s">
        <v>131</v>
      </c>
      <c r="E607" s="65" t="s">
        <v>187</v>
      </c>
    </row>
    <row r="608" spans="1:5" x14ac:dyDescent="0.45">
      <c r="A608">
        <v>20180219</v>
      </c>
      <c r="B608" s="65" t="s">
        <v>133</v>
      </c>
      <c r="C608" s="65" t="s">
        <v>130</v>
      </c>
      <c r="D608" s="65" t="s">
        <v>139</v>
      </c>
      <c r="E608" s="65" t="s">
        <v>133</v>
      </c>
    </row>
    <row r="609" spans="1:5" x14ac:dyDescent="0.45">
      <c r="A609">
        <v>20180220</v>
      </c>
      <c r="B609" s="65" t="s">
        <v>133</v>
      </c>
      <c r="C609" s="65" t="s">
        <v>130</v>
      </c>
      <c r="D609" s="65" t="s">
        <v>139</v>
      </c>
      <c r="E609" s="65" t="s">
        <v>133</v>
      </c>
    </row>
    <row r="610" spans="1:5" x14ac:dyDescent="0.45">
      <c r="A610">
        <v>20180224</v>
      </c>
      <c r="B610" s="65" t="s">
        <v>133</v>
      </c>
      <c r="C610" s="65" t="s">
        <v>130</v>
      </c>
      <c r="D610" s="65" t="s">
        <v>134</v>
      </c>
      <c r="E610" s="65" t="s">
        <v>133</v>
      </c>
    </row>
    <row r="611" spans="1:5" x14ac:dyDescent="0.45">
      <c r="A611">
        <v>20180225</v>
      </c>
      <c r="B611" s="65" t="s">
        <v>133</v>
      </c>
      <c r="C611" s="65" t="s">
        <v>130</v>
      </c>
      <c r="D611" s="65" t="s">
        <v>134</v>
      </c>
      <c r="E611" s="65" t="s">
        <v>133</v>
      </c>
    </row>
    <row r="612" spans="1:5" x14ac:dyDescent="0.45">
      <c r="A612">
        <v>20180228</v>
      </c>
      <c r="B612" s="65" t="s">
        <v>145</v>
      </c>
      <c r="C612" s="65" t="s">
        <v>130</v>
      </c>
      <c r="D612" s="65" t="s">
        <v>131</v>
      </c>
      <c r="E612" s="65" t="s">
        <v>132</v>
      </c>
    </row>
    <row r="613" spans="1:5" x14ac:dyDescent="0.45">
      <c r="A613">
        <v>20180303</v>
      </c>
      <c r="B613" s="65" t="s">
        <v>133</v>
      </c>
      <c r="C613" s="65" t="s">
        <v>130</v>
      </c>
      <c r="D613" s="65" t="s">
        <v>134</v>
      </c>
      <c r="E613" s="65" t="s">
        <v>133</v>
      </c>
    </row>
    <row r="614" spans="1:5" x14ac:dyDescent="0.45">
      <c r="A614">
        <v>20180304</v>
      </c>
      <c r="B614" s="65" t="s">
        <v>133</v>
      </c>
      <c r="C614" s="65" t="s">
        <v>130</v>
      </c>
      <c r="D614" s="65" t="s">
        <v>134</v>
      </c>
      <c r="E614" s="65" t="s">
        <v>133</v>
      </c>
    </row>
    <row r="615" spans="1:5" x14ac:dyDescent="0.45">
      <c r="A615">
        <v>20180310</v>
      </c>
      <c r="B615" s="65" t="s">
        <v>133</v>
      </c>
      <c r="C615" s="65" t="s">
        <v>130</v>
      </c>
      <c r="D615" s="65" t="s">
        <v>134</v>
      </c>
      <c r="E615" s="65" t="s">
        <v>133</v>
      </c>
    </row>
    <row r="616" spans="1:5" x14ac:dyDescent="0.45">
      <c r="A616">
        <v>20180311</v>
      </c>
      <c r="B616" s="65" t="s">
        <v>133</v>
      </c>
      <c r="C616" s="65" t="s">
        <v>130</v>
      </c>
      <c r="D616" s="65" t="s">
        <v>134</v>
      </c>
      <c r="E616" s="65" t="s">
        <v>133</v>
      </c>
    </row>
    <row r="617" spans="1:5" x14ac:dyDescent="0.45">
      <c r="A617">
        <v>20180317</v>
      </c>
      <c r="B617" s="65" t="s">
        <v>133</v>
      </c>
      <c r="C617" s="65" t="s">
        <v>130</v>
      </c>
      <c r="D617" s="65" t="s">
        <v>134</v>
      </c>
      <c r="E617" s="65" t="s">
        <v>133</v>
      </c>
    </row>
    <row r="618" spans="1:5" x14ac:dyDescent="0.45">
      <c r="A618">
        <v>20180318</v>
      </c>
      <c r="B618" s="65" t="s">
        <v>133</v>
      </c>
      <c r="C618" s="65" t="s">
        <v>130</v>
      </c>
      <c r="D618" s="65" t="s">
        <v>134</v>
      </c>
      <c r="E618" s="65" t="s">
        <v>133</v>
      </c>
    </row>
    <row r="619" spans="1:5" x14ac:dyDescent="0.45">
      <c r="A619">
        <v>20180324</v>
      </c>
      <c r="B619" s="65" t="s">
        <v>133</v>
      </c>
      <c r="C619" s="65" t="s">
        <v>130</v>
      </c>
      <c r="D619" s="65" t="s">
        <v>134</v>
      </c>
      <c r="E619" s="65" t="s">
        <v>133</v>
      </c>
    </row>
    <row r="620" spans="1:5" x14ac:dyDescent="0.45">
      <c r="A620">
        <v>20180325</v>
      </c>
      <c r="B620" s="65" t="s">
        <v>133</v>
      </c>
      <c r="C620" s="65" t="s">
        <v>130</v>
      </c>
      <c r="D620" s="65" t="s">
        <v>134</v>
      </c>
      <c r="E620" s="65" t="s">
        <v>133</v>
      </c>
    </row>
    <row r="621" spans="1:5" x14ac:dyDescent="0.45">
      <c r="A621">
        <v>20180331</v>
      </c>
      <c r="B621" s="65" t="s">
        <v>133</v>
      </c>
      <c r="C621" s="65" t="s">
        <v>142</v>
      </c>
      <c r="D621" s="65" t="s">
        <v>143</v>
      </c>
      <c r="E621" s="65" t="s">
        <v>133</v>
      </c>
    </row>
    <row r="622" spans="1:5" x14ac:dyDescent="0.45">
      <c r="A622">
        <v>20180401</v>
      </c>
      <c r="B622" s="65" t="s">
        <v>133</v>
      </c>
      <c r="C622" s="65" t="s">
        <v>130</v>
      </c>
      <c r="D622" s="65" t="s">
        <v>134</v>
      </c>
      <c r="E622" s="65" t="s">
        <v>133</v>
      </c>
    </row>
    <row r="623" spans="1:5" x14ac:dyDescent="0.45">
      <c r="A623">
        <v>20180404</v>
      </c>
      <c r="B623" s="65" t="s">
        <v>164</v>
      </c>
      <c r="C623" s="65" t="s">
        <v>130</v>
      </c>
      <c r="D623" s="65" t="s">
        <v>131</v>
      </c>
      <c r="E623" s="65" t="s">
        <v>132</v>
      </c>
    </row>
    <row r="624" spans="1:5" x14ac:dyDescent="0.45">
      <c r="A624">
        <v>20180405</v>
      </c>
      <c r="B624" s="65" t="s">
        <v>165</v>
      </c>
      <c r="C624" s="65" t="s">
        <v>130</v>
      </c>
      <c r="D624" s="65" t="s">
        <v>131</v>
      </c>
      <c r="E624" s="65" t="s">
        <v>188</v>
      </c>
    </row>
    <row r="625" spans="1:5" x14ac:dyDescent="0.45">
      <c r="A625">
        <v>20180406</v>
      </c>
      <c r="B625" s="65" t="s">
        <v>133</v>
      </c>
      <c r="C625" s="65" t="s">
        <v>130</v>
      </c>
      <c r="D625" s="65" t="s">
        <v>140</v>
      </c>
      <c r="E625" s="65" t="s">
        <v>133</v>
      </c>
    </row>
    <row r="626" spans="1:5" x14ac:dyDescent="0.45">
      <c r="A626">
        <v>20180407</v>
      </c>
      <c r="B626" s="65" t="s">
        <v>133</v>
      </c>
      <c r="C626" s="65" t="s">
        <v>130</v>
      </c>
      <c r="D626" s="65" t="s">
        <v>134</v>
      </c>
      <c r="E626" s="65" t="s">
        <v>133</v>
      </c>
    </row>
    <row r="627" spans="1:5" x14ac:dyDescent="0.45">
      <c r="A627">
        <v>20180408</v>
      </c>
      <c r="B627" s="65" t="s">
        <v>133</v>
      </c>
      <c r="C627" s="65" t="s">
        <v>130</v>
      </c>
      <c r="D627" s="65" t="s">
        <v>134</v>
      </c>
      <c r="E627" s="65" t="s">
        <v>133</v>
      </c>
    </row>
    <row r="628" spans="1:5" x14ac:dyDescent="0.45">
      <c r="A628">
        <v>20180414</v>
      </c>
      <c r="B628" s="65" t="s">
        <v>133</v>
      </c>
      <c r="C628" s="65" t="s">
        <v>130</v>
      </c>
      <c r="D628" s="65" t="s">
        <v>134</v>
      </c>
      <c r="E628" s="65" t="s">
        <v>133</v>
      </c>
    </row>
    <row r="629" spans="1:5" x14ac:dyDescent="0.45">
      <c r="A629">
        <v>20180415</v>
      </c>
      <c r="B629" s="65" t="s">
        <v>133</v>
      </c>
      <c r="C629" s="65" t="s">
        <v>130</v>
      </c>
      <c r="D629" s="65" t="s">
        <v>134</v>
      </c>
      <c r="E629" s="65" t="s">
        <v>133</v>
      </c>
    </row>
    <row r="630" spans="1:5" x14ac:dyDescent="0.45">
      <c r="A630">
        <v>20180421</v>
      </c>
      <c r="B630" s="65" t="s">
        <v>133</v>
      </c>
      <c r="C630" s="65" t="s">
        <v>130</v>
      </c>
      <c r="D630" s="65" t="s">
        <v>134</v>
      </c>
      <c r="E630" s="65" t="s">
        <v>133</v>
      </c>
    </row>
    <row r="631" spans="1:5" x14ac:dyDescent="0.45">
      <c r="A631">
        <v>20180422</v>
      </c>
      <c r="B631" s="65" t="s">
        <v>133</v>
      </c>
      <c r="C631" s="65" t="s">
        <v>130</v>
      </c>
      <c r="D631" s="65" t="s">
        <v>134</v>
      </c>
      <c r="E631" s="65" t="s">
        <v>133</v>
      </c>
    </row>
    <row r="632" spans="1:5" x14ac:dyDescent="0.45">
      <c r="A632">
        <v>20180428</v>
      </c>
      <c r="B632" s="65" t="s">
        <v>133</v>
      </c>
      <c r="C632" s="65" t="s">
        <v>130</v>
      </c>
      <c r="D632" s="65" t="s">
        <v>134</v>
      </c>
      <c r="E632" s="65" t="s">
        <v>133</v>
      </c>
    </row>
    <row r="633" spans="1:5" x14ac:dyDescent="0.45">
      <c r="A633">
        <v>20180429</v>
      </c>
      <c r="B633" s="65" t="s">
        <v>133</v>
      </c>
      <c r="C633" s="65" t="s">
        <v>130</v>
      </c>
      <c r="D633" s="65" t="s">
        <v>134</v>
      </c>
      <c r="E633" s="65" t="s">
        <v>133</v>
      </c>
    </row>
    <row r="634" spans="1:5" x14ac:dyDescent="0.45">
      <c r="A634">
        <v>20180505</v>
      </c>
      <c r="B634" s="65" t="s">
        <v>133</v>
      </c>
      <c r="C634" s="65" t="s">
        <v>130</v>
      </c>
      <c r="D634" s="65" t="s">
        <v>134</v>
      </c>
      <c r="E634" s="65" t="s">
        <v>133</v>
      </c>
    </row>
    <row r="635" spans="1:5" x14ac:dyDescent="0.45">
      <c r="A635">
        <v>20180506</v>
      </c>
      <c r="B635" s="65" t="s">
        <v>133</v>
      </c>
      <c r="C635" s="65" t="s">
        <v>130</v>
      </c>
      <c r="D635" s="65" t="s">
        <v>134</v>
      </c>
      <c r="E635" s="65" t="s">
        <v>133</v>
      </c>
    </row>
    <row r="636" spans="1:5" x14ac:dyDescent="0.45">
      <c r="A636">
        <v>20180512</v>
      </c>
      <c r="B636" s="65" t="s">
        <v>133</v>
      </c>
      <c r="C636" s="65" t="s">
        <v>130</v>
      </c>
      <c r="D636" s="65" t="s">
        <v>134</v>
      </c>
      <c r="E636" s="65" t="s">
        <v>133</v>
      </c>
    </row>
    <row r="637" spans="1:5" x14ac:dyDescent="0.45">
      <c r="A637">
        <v>20180513</v>
      </c>
      <c r="B637" s="65" t="s">
        <v>133</v>
      </c>
      <c r="C637" s="65" t="s">
        <v>130</v>
      </c>
      <c r="D637" s="65" t="s">
        <v>134</v>
      </c>
      <c r="E637" s="65" t="s">
        <v>133</v>
      </c>
    </row>
    <row r="638" spans="1:5" x14ac:dyDescent="0.45">
      <c r="A638">
        <v>20180519</v>
      </c>
      <c r="B638" s="65" t="s">
        <v>133</v>
      </c>
      <c r="C638" s="65" t="s">
        <v>130</v>
      </c>
      <c r="D638" s="65" t="s">
        <v>134</v>
      </c>
      <c r="E638" s="65" t="s">
        <v>133</v>
      </c>
    </row>
    <row r="639" spans="1:5" x14ac:dyDescent="0.45">
      <c r="A639">
        <v>20180520</v>
      </c>
      <c r="B639" s="65" t="s">
        <v>133</v>
      </c>
      <c r="C639" s="65" t="s">
        <v>130</v>
      </c>
      <c r="D639" s="65" t="s">
        <v>134</v>
      </c>
      <c r="E639" s="65" t="s">
        <v>133</v>
      </c>
    </row>
    <row r="640" spans="1:5" x14ac:dyDescent="0.45">
      <c r="A640">
        <v>20180526</v>
      </c>
      <c r="B640" s="65" t="s">
        <v>133</v>
      </c>
      <c r="C640" s="65" t="s">
        <v>130</v>
      </c>
      <c r="D640" s="65" t="s">
        <v>134</v>
      </c>
      <c r="E640" s="65" t="s">
        <v>133</v>
      </c>
    </row>
    <row r="641" spans="1:5" x14ac:dyDescent="0.45">
      <c r="A641">
        <v>20180527</v>
      </c>
      <c r="B641" s="65" t="s">
        <v>133</v>
      </c>
      <c r="C641" s="65" t="s">
        <v>130</v>
      </c>
      <c r="D641" s="65" t="s">
        <v>134</v>
      </c>
      <c r="E641" s="65" t="s">
        <v>133</v>
      </c>
    </row>
    <row r="642" spans="1:5" x14ac:dyDescent="0.45">
      <c r="A642">
        <v>20180602</v>
      </c>
      <c r="B642" s="65" t="s">
        <v>133</v>
      </c>
      <c r="C642" s="65" t="s">
        <v>130</v>
      </c>
      <c r="D642" s="65" t="s">
        <v>134</v>
      </c>
      <c r="E642" s="65" t="s">
        <v>133</v>
      </c>
    </row>
    <row r="643" spans="1:5" x14ac:dyDescent="0.45">
      <c r="A643">
        <v>20180603</v>
      </c>
      <c r="B643" s="65" t="s">
        <v>133</v>
      </c>
      <c r="C643" s="65" t="s">
        <v>130</v>
      </c>
      <c r="D643" s="65" t="s">
        <v>134</v>
      </c>
      <c r="E643" s="65" t="s">
        <v>133</v>
      </c>
    </row>
    <row r="644" spans="1:5" x14ac:dyDescent="0.45">
      <c r="A644">
        <v>20180609</v>
      </c>
      <c r="B644" s="65" t="s">
        <v>133</v>
      </c>
      <c r="C644" s="65" t="s">
        <v>130</v>
      </c>
      <c r="D644" s="65" t="s">
        <v>134</v>
      </c>
      <c r="E644" s="65" t="s">
        <v>133</v>
      </c>
    </row>
    <row r="645" spans="1:5" x14ac:dyDescent="0.45">
      <c r="A645">
        <v>20180610</v>
      </c>
      <c r="B645" s="65" t="s">
        <v>133</v>
      </c>
      <c r="C645" s="65" t="s">
        <v>130</v>
      </c>
      <c r="D645" s="65" t="s">
        <v>134</v>
      </c>
      <c r="E645" s="65" t="s">
        <v>133</v>
      </c>
    </row>
    <row r="646" spans="1:5" x14ac:dyDescent="0.45">
      <c r="A646">
        <v>20180616</v>
      </c>
      <c r="B646" s="65" t="s">
        <v>133</v>
      </c>
      <c r="C646" s="65" t="s">
        <v>130</v>
      </c>
      <c r="D646" s="65" t="s">
        <v>134</v>
      </c>
      <c r="E646" s="65" t="s">
        <v>133</v>
      </c>
    </row>
    <row r="647" spans="1:5" x14ac:dyDescent="0.45">
      <c r="A647">
        <v>20180617</v>
      </c>
      <c r="B647" s="65" t="s">
        <v>133</v>
      </c>
      <c r="C647" s="65" t="s">
        <v>130</v>
      </c>
      <c r="D647" s="65" t="s">
        <v>134</v>
      </c>
      <c r="E647" s="65" t="s">
        <v>133</v>
      </c>
    </row>
    <row r="648" spans="1:5" x14ac:dyDescent="0.45">
      <c r="A648">
        <v>20180618</v>
      </c>
      <c r="B648" s="65" t="s">
        <v>153</v>
      </c>
      <c r="C648" s="65" t="s">
        <v>130</v>
      </c>
      <c r="D648" s="65" t="s">
        <v>131</v>
      </c>
      <c r="E648" s="65" t="s">
        <v>132</v>
      </c>
    </row>
    <row r="649" spans="1:5" x14ac:dyDescent="0.45">
      <c r="A649">
        <v>20180623</v>
      </c>
      <c r="B649" s="65" t="s">
        <v>133</v>
      </c>
      <c r="C649" s="65" t="s">
        <v>130</v>
      </c>
      <c r="D649" s="65" t="s">
        <v>134</v>
      </c>
      <c r="E649" s="65" t="s">
        <v>133</v>
      </c>
    </row>
    <row r="650" spans="1:5" x14ac:dyDescent="0.45">
      <c r="A650">
        <v>20180624</v>
      </c>
      <c r="B650" s="65" t="s">
        <v>133</v>
      </c>
      <c r="C650" s="65" t="s">
        <v>130</v>
      </c>
      <c r="D650" s="65" t="s">
        <v>134</v>
      </c>
      <c r="E650" s="65" t="s">
        <v>133</v>
      </c>
    </row>
    <row r="651" spans="1:5" x14ac:dyDescent="0.45">
      <c r="A651">
        <v>20180630</v>
      </c>
      <c r="B651" s="65" t="s">
        <v>133</v>
      </c>
      <c r="C651" s="65" t="s">
        <v>130</v>
      </c>
      <c r="D651" s="65" t="s">
        <v>134</v>
      </c>
      <c r="E651" s="65" t="s">
        <v>133</v>
      </c>
    </row>
    <row r="652" spans="1:5" x14ac:dyDescent="0.45">
      <c r="A652">
        <v>20180701</v>
      </c>
      <c r="B652" s="65" t="s">
        <v>133</v>
      </c>
      <c r="C652" s="65" t="s">
        <v>130</v>
      </c>
      <c r="D652" s="65" t="s">
        <v>134</v>
      </c>
      <c r="E652" s="65" t="s">
        <v>133</v>
      </c>
    </row>
    <row r="653" spans="1:5" x14ac:dyDescent="0.45">
      <c r="A653">
        <v>20180707</v>
      </c>
      <c r="B653" s="65" t="s">
        <v>133</v>
      </c>
      <c r="C653" s="65" t="s">
        <v>130</v>
      </c>
      <c r="D653" s="65" t="s">
        <v>134</v>
      </c>
      <c r="E653" s="65" t="s">
        <v>133</v>
      </c>
    </row>
    <row r="654" spans="1:5" x14ac:dyDescent="0.45">
      <c r="A654">
        <v>20180708</v>
      </c>
      <c r="B654" s="65" t="s">
        <v>133</v>
      </c>
      <c r="C654" s="65" t="s">
        <v>130</v>
      </c>
      <c r="D654" s="65" t="s">
        <v>134</v>
      </c>
      <c r="E654" s="65" t="s">
        <v>133</v>
      </c>
    </row>
    <row r="655" spans="1:5" x14ac:dyDescent="0.45">
      <c r="A655">
        <v>20180714</v>
      </c>
      <c r="B655" s="65" t="s">
        <v>133</v>
      </c>
      <c r="C655" s="65" t="s">
        <v>130</v>
      </c>
      <c r="D655" s="65" t="s">
        <v>134</v>
      </c>
      <c r="E655" s="65" t="s">
        <v>133</v>
      </c>
    </row>
    <row r="656" spans="1:5" x14ac:dyDescent="0.45">
      <c r="A656">
        <v>20180715</v>
      </c>
      <c r="B656" s="65" t="s">
        <v>133</v>
      </c>
      <c r="C656" s="65" t="s">
        <v>130</v>
      </c>
      <c r="D656" s="65" t="s">
        <v>134</v>
      </c>
      <c r="E656" s="65" t="s">
        <v>133</v>
      </c>
    </row>
    <row r="657" spans="1:5" x14ac:dyDescent="0.45">
      <c r="A657">
        <v>20180721</v>
      </c>
      <c r="B657" s="65" t="s">
        <v>133</v>
      </c>
      <c r="C657" s="65" t="s">
        <v>130</v>
      </c>
      <c r="D657" s="65" t="s">
        <v>134</v>
      </c>
      <c r="E657" s="65" t="s">
        <v>133</v>
      </c>
    </row>
    <row r="658" spans="1:5" x14ac:dyDescent="0.45">
      <c r="A658">
        <v>20180722</v>
      </c>
      <c r="B658" s="65" t="s">
        <v>133</v>
      </c>
      <c r="C658" s="65" t="s">
        <v>130</v>
      </c>
      <c r="D658" s="65" t="s">
        <v>134</v>
      </c>
      <c r="E658" s="65" t="s">
        <v>133</v>
      </c>
    </row>
    <row r="659" spans="1:5" x14ac:dyDescent="0.45">
      <c r="A659">
        <v>20180728</v>
      </c>
      <c r="B659" s="65" t="s">
        <v>133</v>
      </c>
      <c r="C659" s="65" t="s">
        <v>130</v>
      </c>
      <c r="D659" s="65" t="s">
        <v>134</v>
      </c>
      <c r="E659" s="65" t="s">
        <v>133</v>
      </c>
    </row>
    <row r="660" spans="1:5" x14ac:dyDescent="0.45">
      <c r="A660">
        <v>20180729</v>
      </c>
      <c r="B660" s="65" t="s">
        <v>133</v>
      </c>
      <c r="C660" s="65" t="s">
        <v>130</v>
      </c>
      <c r="D660" s="65" t="s">
        <v>134</v>
      </c>
      <c r="E660" s="65" t="s">
        <v>133</v>
      </c>
    </row>
    <row r="661" spans="1:5" x14ac:dyDescent="0.45">
      <c r="A661">
        <v>20180804</v>
      </c>
      <c r="B661" s="65" t="s">
        <v>133</v>
      </c>
      <c r="C661" s="65" t="s">
        <v>130</v>
      </c>
      <c r="D661" s="65" t="s">
        <v>134</v>
      </c>
      <c r="E661" s="65" t="s">
        <v>133</v>
      </c>
    </row>
    <row r="662" spans="1:5" x14ac:dyDescent="0.45">
      <c r="A662">
        <v>20180805</v>
      </c>
      <c r="B662" s="65" t="s">
        <v>133</v>
      </c>
      <c r="C662" s="65" t="s">
        <v>130</v>
      </c>
      <c r="D662" s="65" t="s">
        <v>134</v>
      </c>
      <c r="E662" s="65" t="s">
        <v>133</v>
      </c>
    </row>
    <row r="663" spans="1:5" x14ac:dyDescent="0.45">
      <c r="A663">
        <v>20180811</v>
      </c>
      <c r="B663" s="65" t="s">
        <v>133</v>
      </c>
      <c r="C663" s="65" t="s">
        <v>130</v>
      </c>
      <c r="D663" s="65" t="s">
        <v>134</v>
      </c>
      <c r="E663" s="65" t="s">
        <v>133</v>
      </c>
    </row>
    <row r="664" spans="1:5" x14ac:dyDescent="0.45">
      <c r="A664">
        <v>20180812</v>
      </c>
      <c r="B664" s="65" t="s">
        <v>133</v>
      </c>
      <c r="C664" s="65" t="s">
        <v>130</v>
      </c>
      <c r="D664" s="65" t="s">
        <v>134</v>
      </c>
      <c r="E664" s="65" t="s">
        <v>133</v>
      </c>
    </row>
    <row r="665" spans="1:5" x14ac:dyDescent="0.45">
      <c r="A665">
        <v>20180818</v>
      </c>
      <c r="B665" s="65" t="s">
        <v>133</v>
      </c>
      <c r="C665" s="65" t="s">
        <v>130</v>
      </c>
      <c r="D665" s="65" t="s">
        <v>134</v>
      </c>
      <c r="E665" s="65" t="s">
        <v>133</v>
      </c>
    </row>
    <row r="666" spans="1:5" x14ac:dyDescent="0.45">
      <c r="A666">
        <v>20180819</v>
      </c>
      <c r="B666" s="65" t="s">
        <v>133</v>
      </c>
      <c r="C666" s="65" t="s">
        <v>130</v>
      </c>
      <c r="D666" s="65" t="s">
        <v>134</v>
      </c>
      <c r="E666" s="65" t="s">
        <v>133</v>
      </c>
    </row>
    <row r="667" spans="1:5" x14ac:dyDescent="0.45">
      <c r="A667">
        <v>20180825</v>
      </c>
      <c r="B667" s="65" t="s">
        <v>133</v>
      </c>
      <c r="C667" s="65" t="s">
        <v>130</v>
      </c>
      <c r="D667" s="65" t="s">
        <v>134</v>
      </c>
      <c r="E667" s="65" t="s">
        <v>133</v>
      </c>
    </row>
    <row r="668" spans="1:5" x14ac:dyDescent="0.45">
      <c r="A668">
        <v>20180826</v>
      </c>
      <c r="B668" s="65" t="s">
        <v>133</v>
      </c>
      <c r="C668" s="65" t="s">
        <v>130</v>
      </c>
      <c r="D668" s="65" t="s">
        <v>134</v>
      </c>
      <c r="E668" s="65" t="s">
        <v>133</v>
      </c>
    </row>
    <row r="669" spans="1:5" x14ac:dyDescent="0.45">
      <c r="A669">
        <v>20180901</v>
      </c>
      <c r="B669" s="65" t="s">
        <v>133</v>
      </c>
      <c r="C669" s="65" t="s">
        <v>130</v>
      </c>
      <c r="D669" s="65" t="s">
        <v>134</v>
      </c>
      <c r="E669" s="65" t="s">
        <v>133</v>
      </c>
    </row>
    <row r="670" spans="1:5" x14ac:dyDescent="0.45">
      <c r="A670">
        <v>20180902</v>
      </c>
      <c r="B670" s="65" t="s">
        <v>133</v>
      </c>
      <c r="C670" s="65" t="s">
        <v>130</v>
      </c>
      <c r="D670" s="65" t="s">
        <v>134</v>
      </c>
      <c r="E670" s="65" t="s">
        <v>133</v>
      </c>
    </row>
    <row r="671" spans="1:5" x14ac:dyDescent="0.45">
      <c r="A671">
        <v>20180908</v>
      </c>
      <c r="B671" s="65" t="s">
        <v>133</v>
      </c>
      <c r="C671" s="65" t="s">
        <v>130</v>
      </c>
      <c r="D671" s="65" t="s">
        <v>134</v>
      </c>
      <c r="E671" s="65" t="s">
        <v>133</v>
      </c>
    </row>
    <row r="672" spans="1:5" x14ac:dyDescent="0.45">
      <c r="A672">
        <v>20180909</v>
      </c>
      <c r="B672" s="65" t="s">
        <v>133</v>
      </c>
      <c r="C672" s="65" t="s">
        <v>130</v>
      </c>
      <c r="D672" s="65" t="s">
        <v>134</v>
      </c>
      <c r="E672" s="65" t="s">
        <v>133</v>
      </c>
    </row>
    <row r="673" spans="1:5" x14ac:dyDescent="0.45">
      <c r="A673">
        <v>20180915</v>
      </c>
      <c r="B673" s="65" t="s">
        <v>133</v>
      </c>
      <c r="C673" s="65" t="s">
        <v>130</v>
      </c>
      <c r="D673" s="65" t="s">
        <v>134</v>
      </c>
      <c r="E673" s="65" t="s">
        <v>133</v>
      </c>
    </row>
    <row r="674" spans="1:5" x14ac:dyDescent="0.45">
      <c r="A674">
        <v>20180916</v>
      </c>
      <c r="B674" s="65" t="s">
        <v>133</v>
      </c>
      <c r="C674" s="65" t="s">
        <v>130</v>
      </c>
      <c r="D674" s="65" t="s">
        <v>134</v>
      </c>
      <c r="E674" s="65" t="s">
        <v>133</v>
      </c>
    </row>
    <row r="675" spans="1:5" x14ac:dyDescent="0.45">
      <c r="A675">
        <v>20180922</v>
      </c>
      <c r="B675" s="65" t="s">
        <v>133</v>
      </c>
      <c r="C675" s="65" t="s">
        <v>130</v>
      </c>
      <c r="D675" s="65" t="s">
        <v>134</v>
      </c>
      <c r="E675" s="65" t="s">
        <v>133</v>
      </c>
    </row>
    <row r="676" spans="1:5" x14ac:dyDescent="0.45">
      <c r="A676">
        <v>20180923</v>
      </c>
      <c r="B676" s="65" t="s">
        <v>133</v>
      </c>
      <c r="C676" s="65" t="s">
        <v>130</v>
      </c>
      <c r="D676" s="65" t="s">
        <v>134</v>
      </c>
      <c r="E676" s="65" t="s">
        <v>133</v>
      </c>
    </row>
    <row r="677" spans="1:5" x14ac:dyDescent="0.45">
      <c r="A677">
        <v>20180924</v>
      </c>
      <c r="B677" s="65" t="s">
        <v>154</v>
      </c>
      <c r="C677" s="65" t="s">
        <v>130</v>
      </c>
      <c r="D677" s="65" t="s">
        <v>131</v>
      </c>
      <c r="E677" s="65" t="s">
        <v>132</v>
      </c>
    </row>
    <row r="678" spans="1:5" x14ac:dyDescent="0.45">
      <c r="A678">
        <v>20180929</v>
      </c>
      <c r="B678" s="65" t="s">
        <v>133</v>
      </c>
      <c r="C678" s="65" t="s">
        <v>130</v>
      </c>
      <c r="D678" s="65" t="s">
        <v>134</v>
      </c>
      <c r="E678" s="65" t="s">
        <v>133</v>
      </c>
    </row>
    <row r="679" spans="1:5" x14ac:dyDescent="0.45">
      <c r="A679">
        <v>20180930</v>
      </c>
      <c r="B679" s="65" t="s">
        <v>133</v>
      </c>
      <c r="C679" s="65" t="s">
        <v>130</v>
      </c>
      <c r="D679" s="65" t="s">
        <v>134</v>
      </c>
      <c r="E679" s="65" t="s">
        <v>133</v>
      </c>
    </row>
    <row r="680" spans="1:5" x14ac:dyDescent="0.45">
      <c r="A680">
        <v>20181006</v>
      </c>
      <c r="B680" s="65" t="s">
        <v>133</v>
      </c>
      <c r="C680" s="65" t="s">
        <v>130</v>
      </c>
      <c r="D680" s="65" t="s">
        <v>134</v>
      </c>
      <c r="E680" s="65" t="s">
        <v>133</v>
      </c>
    </row>
    <row r="681" spans="1:5" x14ac:dyDescent="0.45">
      <c r="A681">
        <v>20181007</v>
      </c>
      <c r="B681" s="65" t="s">
        <v>133</v>
      </c>
      <c r="C681" s="65" t="s">
        <v>130</v>
      </c>
      <c r="D681" s="65" t="s">
        <v>134</v>
      </c>
      <c r="E681" s="65" t="s">
        <v>133</v>
      </c>
    </row>
    <row r="682" spans="1:5" x14ac:dyDescent="0.45">
      <c r="A682">
        <v>20181010</v>
      </c>
      <c r="B682" s="65" t="s">
        <v>158</v>
      </c>
      <c r="C682" s="65" t="s">
        <v>130</v>
      </c>
      <c r="D682" s="65" t="s">
        <v>131</v>
      </c>
      <c r="E682" s="65" t="s">
        <v>132</v>
      </c>
    </row>
    <row r="683" spans="1:5" x14ac:dyDescent="0.45">
      <c r="A683">
        <v>20181013</v>
      </c>
      <c r="B683" s="65" t="s">
        <v>133</v>
      </c>
      <c r="C683" s="65" t="s">
        <v>130</v>
      </c>
      <c r="D683" s="65" t="s">
        <v>134</v>
      </c>
      <c r="E683" s="65" t="s">
        <v>133</v>
      </c>
    </row>
    <row r="684" spans="1:5" x14ac:dyDescent="0.45">
      <c r="A684">
        <v>20181014</v>
      </c>
      <c r="B684" s="65" t="s">
        <v>133</v>
      </c>
      <c r="C684" s="65" t="s">
        <v>130</v>
      </c>
      <c r="D684" s="65" t="s">
        <v>134</v>
      </c>
      <c r="E684" s="65" t="s">
        <v>133</v>
      </c>
    </row>
    <row r="685" spans="1:5" x14ac:dyDescent="0.45">
      <c r="A685">
        <v>20181020</v>
      </c>
      <c r="B685" s="65" t="s">
        <v>133</v>
      </c>
      <c r="C685" s="65" t="s">
        <v>130</v>
      </c>
      <c r="D685" s="65" t="s">
        <v>134</v>
      </c>
      <c r="E685" s="65" t="s">
        <v>133</v>
      </c>
    </row>
    <row r="686" spans="1:5" x14ac:dyDescent="0.45">
      <c r="A686">
        <v>20181021</v>
      </c>
      <c r="B686" s="65" t="s">
        <v>133</v>
      </c>
      <c r="C686" s="65" t="s">
        <v>130</v>
      </c>
      <c r="D686" s="65" t="s">
        <v>134</v>
      </c>
      <c r="E686" s="65" t="s">
        <v>133</v>
      </c>
    </row>
    <row r="687" spans="1:5" x14ac:dyDescent="0.45">
      <c r="A687">
        <v>20181027</v>
      </c>
      <c r="B687" s="65" t="s">
        <v>133</v>
      </c>
      <c r="C687" s="65" t="s">
        <v>130</v>
      </c>
      <c r="D687" s="65" t="s">
        <v>134</v>
      </c>
      <c r="E687" s="65" t="s">
        <v>133</v>
      </c>
    </row>
    <row r="688" spans="1:5" x14ac:dyDescent="0.45">
      <c r="A688">
        <v>20181028</v>
      </c>
      <c r="B688" s="65" t="s">
        <v>133</v>
      </c>
      <c r="C688" s="65" t="s">
        <v>130</v>
      </c>
      <c r="D688" s="65" t="s">
        <v>134</v>
      </c>
      <c r="E688" s="65" t="s">
        <v>133</v>
      </c>
    </row>
    <row r="689" spans="1:5" x14ac:dyDescent="0.45">
      <c r="A689">
        <v>20181103</v>
      </c>
      <c r="B689" s="65" t="s">
        <v>133</v>
      </c>
      <c r="C689" s="65" t="s">
        <v>130</v>
      </c>
      <c r="D689" s="65" t="s">
        <v>134</v>
      </c>
      <c r="E689" s="65" t="s">
        <v>133</v>
      </c>
    </row>
    <row r="690" spans="1:5" x14ac:dyDescent="0.45">
      <c r="A690">
        <v>20181104</v>
      </c>
      <c r="B690" s="65" t="s">
        <v>133</v>
      </c>
      <c r="C690" s="65" t="s">
        <v>130</v>
      </c>
      <c r="D690" s="65" t="s">
        <v>134</v>
      </c>
      <c r="E690" s="65" t="s">
        <v>133</v>
      </c>
    </row>
    <row r="691" spans="1:5" x14ac:dyDescent="0.45">
      <c r="A691">
        <v>20181110</v>
      </c>
      <c r="B691" s="65" t="s">
        <v>133</v>
      </c>
      <c r="C691" s="65" t="s">
        <v>130</v>
      </c>
      <c r="D691" s="65" t="s">
        <v>134</v>
      </c>
      <c r="E691" s="65" t="s">
        <v>133</v>
      </c>
    </row>
    <row r="692" spans="1:5" x14ac:dyDescent="0.45">
      <c r="A692">
        <v>20181111</v>
      </c>
      <c r="B692" s="65" t="s">
        <v>133</v>
      </c>
      <c r="C692" s="65" t="s">
        <v>130</v>
      </c>
      <c r="D692" s="65" t="s">
        <v>134</v>
      </c>
      <c r="E692" s="65" t="s">
        <v>133</v>
      </c>
    </row>
    <row r="693" spans="1:5" x14ac:dyDescent="0.45">
      <c r="A693">
        <v>20181117</v>
      </c>
      <c r="B693" s="65" t="s">
        <v>133</v>
      </c>
      <c r="C693" s="65" t="s">
        <v>130</v>
      </c>
      <c r="D693" s="65" t="s">
        <v>134</v>
      </c>
      <c r="E693" s="65" t="s">
        <v>133</v>
      </c>
    </row>
    <row r="694" spans="1:5" x14ac:dyDescent="0.45">
      <c r="A694">
        <v>20181118</v>
      </c>
      <c r="B694" s="65" t="s">
        <v>133</v>
      </c>
      <c r="C694" s="65" t="s">
        <v>130</v>
      </c>
      <c r="D694" s="65" t="s">
        <v>134</v>
      </c>
      <c r="E694" s="65" t="s">
        <v>133</v>
      </c>
    </row>
    <row r="695" spans="1:5" x14ac:dyDescent="0.45">
      <c r="A695">
        <v>20181124</v>
      </c>
      <c r="B695" s="65" t="s">
        <v>133</v>
      </c>
      <c r="C695" s="65" t="s">
        <v>130</v>
      </c>
      <c r="D695" s="65" t="s">
        <v>134</v>
      </c>
      <c r="E695" s="65" t="s">
        <v>133</v>
      </c>
    </row>
    <row r="696" spans="1:5" x14ac:dyDescent="0.45">
      <c r="A696">
        <v>20181125</v>
      </c>
      <c r="B696" s="65" t="s">
        <v>133</v>
      </c>
      <c r="C696" s="65" t="s">
        <v>130</v>
      </c>
      <c r="D696" s="65" t="s">
        <v>134</v>
      </c>
      <c r="E696" s="65" t="s">
        <v>133</v>
      </c>
    </row>
    <row r="697" spans="1:5" x14ac:dyDescent="0.45">
      <c r="A697">
        <v>20181201</v>
      </c>
      <c r="B697" s="65" t="s">
        <v>133</v>
      </c>
      <c r="C697" s="65" t="s">
        <v>130</v>
      </c>
      <c r="D697" s="65" t="s">
        <v>134</v>
      </c>
      <c r="E697" s="65" t="s">
        <v>133</v>
      </c>
    </row>
    <row r="698" spans="1:5" x14ac:dyDescent="0.45">
      <c r="A698">
        <v>20181202</v>
      </c>
      <c r="B698" s="65" t="s">
        <v>133</v>
      </c>
      <c r="C698" s="65" t="s">
        <v>130</v>
      </c>
      <c r="D698" s="65" t="s">
        <v>134</v>
      </c>
      <c r="E698" s="65" t="s">
        <v>133</v>
      </c>
    </row>
    <row r="699" spans="1:5" x14ac:dyDescent="0.45">
      <c r="A699">
        <v>20181208</v>
      </c>
      <c r="B699" s="65" t="s">
        <v>133</v>
      </c>
      <c r="C699" s="65" t="s">
        <v>130</v>
      </c>
      <c r="D699" s="65" t="s">
        <v>134</v>
      </c>
      <c r="E699" s="65" t="s">
        <v>133</v>
      </c>
    </row>
    <row r="700" spans="1:5" x14ac:dyDescent="0.45">
      <c r="A700">
        <v>20181209</v>
      </c>
      <c r="B700" s="65" t="s">
        <v>133</v>
      </c>
      <c r="C700" s="65" t="s">
        <v>130</v>
      </c>
      <c r="D700" s="65" t="s">
        <v>134</v>
      </c>
      <c r="E700" s="65" t="s">
        <v>133</v>
      </c>
    </row>
    <row r="701" spans="1:5" x14ac:dyDescent="0.45">
      <c r="A701">
        <v>20181215</v>
      </c>
      <c r="B701" s="65" t="s">
        <v>133</v>
      </c>
      <c r="C701" s="65" t="s">
        <v>130</v>
      </c>
      <c r="D701" s="65" t="s">
        <v>134</v>
      </c>
      <c r="E701" s="65" t="s">
        <v>133</v>
      </c>
    </row>
    <row r="702" spans="1:5" x14ac:dyDescent="0.45">
      <c r="A702">
        <v>20181216</v>
      </c>
      <c r="B702" s="65" t="s">
        <v>133</v>
      </c>
      <c r="C702" s="65" t="s">
        <v>130</v>
      </c>
      <c r="D702" s="65" t="s">
        <v>134</v>
      </c>
      <c r="E702" s="65" t="s">
        <v>133</v>
      </c>
    </row>
    <row r="703" spans="1:5" x14ac:dyDescent="0.45">
      <c r="A703">
        <v>20181222</v>
      </c>
      <c r="B703" s="65" t="s">
        <v>133</v>
      </c>
      <c r="C703" s="65" t="s">
        <v>142</v>
      </c>
      <c r="D703" s="65" t="s">
        <v>143</v>
      </c>
      <c r="E703" s="65" t="s">
        <v>133</v>
      </c>
    </row>
    <row r="704" spans="1:5" x14ac:dyDescent="0.45">
      <c r="A704">
        <v>20181223</v>
      </c>
      <c r="B704" s="65" t="s">
        <v>133</v>
      </c>
      <c r="C704" s="65" t="s">
        <v>130</v>
      </c>
      <c r="D704" s="65" t="s">
        <v>134</v>
      </c>
      <c r="E704" s="65" t="s">
        <v>133</v>
      </c>
    </row>
    <row r="705" spans="1:5" x14ac:dyDescent="0.45">
      <c r="A705">
        <v>20181229</v>
      </c>
      <c r="B705" s="65" t="s">
        <v>133</v>
      </c>
      <c r="C705" s="65" t="s">
        <v>130</v>
      </c>
      <c r="D705" s="65" t="s">
        <v>134</v>
      </c>
      <c r="E705" s="65" t="s">
        <v>133</v>
      </c>
    </row>
    <row r="706" spans="1:5" x14ac:dyDescent="0.45">
      <c r="A706">
        <v>20181230</v>
      </c>
      <c r="B706" s="65" t="s">
        <v>133</v>
      </c>
      <c r="C706" s="65" t="s">
        <v>130</v>
      </c>
      <c r="D706" s="65" t="s">
        <v>134</v>
      </c>
      <c r="E706" s="65" t="s">
        <v>133</v>
      </c>
    </row>
    <row r="707" spans="1:5" x14ac:dyDescent="0.45">
      <c r="A707">
        <v>20181231</v>
      </c>
      <c r="B707" s="65" t="s">
        <v>133</v>
      </c>
      <c r="C707" s="65" t="s">
        <v>130</v>
      </c>
      <c r="D707" s="65" t="s">
        <v>140</v>
      </c>
      <c r="E707" s="65" t="s">
        <v>133</v>
      </c>
    </row>
    <row r="708" spans="1:5" x14ac:dyDescent="0.45">
      <c r="A708">
        <v>20190101</v>
      </c>
      <c r="B708" s="65" t="s">
        <v>129</v>
      </c>
      <c r="C708" s="65" t="s">
        <v>130</v>
      </c>
      <c r="D708" s="65" t="s">
        <v>131</v>
      </c>
      <c r="E708" s="65" t="s">
        <v>132</v>
      </c>
    </row>
    <row r="709" spans="1:5" x14ac:dyDescent="0.45">
      <c r="A709">
        <v>20190105</v>
      </c>
      <c r="B709" s="65" t="s">
        <v>133</v>
      </c>
      <c r="C709" s="65" t="s">
        <v>130</v>
      </c>
      <c r="D709" s="65" t="s">
        <v>134</v>
      </c>
      <c r="E709" s="65" t="s">
        <v>133</v>
      </c>
    </row>
    <row r="710" spans="1:5" x14ac:dyDescent="0.45">
      <c r="A710">
        <v>20190106</v>
      </c>
      <c r="B710" s="65" t="s">
        <v>133</v>
      </c>
      <c r="C710" s="65" t="s">
        <v>130</v>
      </c>
      <c r="D710" s="65" t="s">
        <v>134</v>
      </c>
      <c r="E710" s="65" t="s">
        <v>133</v>
      </c>
    </row>
    <row r="711" spans="1:5" x14ac:dyDescent="0.45">
      <c r="A711">
        <v>20190112</v>
      </c>
      <c r="B711" s="65" t="s">
        <v>133</v>
      </c>
      <c r="C711" s="65" t="s">
        <v>130</v>
      </c>
      <c r="D711" s="65" t="s">
        <v>134</v>
      </c>
      <c r="E711" s="65" t="s">
        <v>133</v>
      </c>
    </row>
    <row r="712" spans="1:5" x14ac:dyDescent="0.45">
      <c r="A712">
        <v>20190113</v>
      </c>
      <c r="B712" s="65" t="s">
        <v>133</v>
      </c>
      <c r="C712" s="65" t="s">
        <v>130</v>
      </c>
      <c r="D712" s="65" t="s">
        <v>134</v>
      </c>
      <c r="E712" s="65" t="s">
        <v>133</v>
      </c>
    </row>
    <row r="713" spans="1:5" x14ac:dyDescent="0.45">
      <c r="A713">
        <v>20190119</v>
      </c>
      <c r="B713" s="65" t="s">
        <v>133</v>
      </c>
      <c r="C713" s="65" t="s">
        <v>142</v>
      </c>
      <c r="D713" s="65" t="s">
        <v>143</v>
      </c>
      <c r="E713" s="65" t="s">
        <v>133</v>
      </c>
    </row>
    <row r="714" spans="1:5" x14ac:dyDescent="0.45">
      <c r="A714">
        <v>20190120</v>
      </c>
      <c r="B714" s="65" t="s">
        <v>133</v>
      </c>
      <c r="C714" s="65" t="s">
        <v>130</v>
      </c>
      <c r="D714" s="65" t="s">
        <v>134</v>
      </c>
      <c r="E714" s="65" t="s">
        <v>133</v>
      </c>
    </row>
    <row r="715" spans="1:5" x14ac:dyDescent="0.45">
      <c r="A715">
        <v>20190126</v>
      </c>
      <c r="B715" s="65" t="s">
        <v>133</v>
      </c>
      <c r="C715" s="65" t="s">
        <v>130</v>
      </c>
      <c r="D715" s="65" t="s">
        <v>134</v>
      </c>
      <c r="E715" s="65" t="s">
        <v>133</v>
      </c>
    </row>
    <row r="716" spans="1:5" x14ac:dyDescent="0.45">
      <c r="A716">
        <v>20190127</v>
      </c>
      <c r="B716" s="65" t="s">
        <v>133</v>
      </c>
      <c r="C716" s="65" t="s">
        <v>130</v>
      </c>
      <c r="D716" s="65" t="s">
        <v>134</v>
      </c>
      <c r="E716" s="65" t="s">
        <v>133</v>
      </c>
    </row>
    <row r="717" spans="1:5" x14ac:dyDescent="0.45">
      <c r="A717">
        <v>20190202</v>
      </c>
      <c r="B717" s="65" t="s">
        <v>133</v>
      </c>
      <c r="C717" s="65" t="s">
        <v>130</v>
      </c>
      <c r="D717" s="65" t="s">
        <v>134</v>
      </c>
      <c r="E717" s="65" t="s">
        <v>133</v>
      </c>
    </row>
    <row r="718" spans="1:5" x14ac:dyDescent="0.45">
      <c r="A718">
        <v>20190203</v>
      </c>
      <c r="B718" s="65" t="s">
        <v>133</v>
      </c>
      <c r="C718" s="65" t="s">
        <v>130</v>
      </c>
      <c r="D718" s="65" t="s">
        <v>134</v>
      </c>
      <c r="E718" s="65" t="s">
        <v>133</v>
      </c>
    </row>
    <row r="719" spans="1:5" x14ac:dyDescent="0.45">
      <c r="A719">
        <v>20190204</v>
      </c>
      <c r="B719" s="65" t="s">
        <v>135</v>
      </c>
      <c r="C719" s="65" t="s">
        <v>130</v>
      </c>
      <c r="D719" s="65" t="s">
        <v>131</v>
      </c>
      <c r="E719" s="65" t="s">
        <v>132</v>
      </c>
    </row>
    <row r="720" spans="1:5" x14ac:dyDescent="0.45">
      <c r="A720">
        <v>20190205</v>
      </c>
      <c r="B720" s="65" t="s">
        <v>137</v>
      </c>
      <c r="C720" s="65" t="s">
        <v>130</v>
      </c>
      <c r="D720" s="65" t="s">
        <v>131</v>
      </c>
      <c r="E720" s="65" t="s">
        <v>189</v>
      </c>
    </row>
    <row r="721" spans="1:5" x14ac:dyDescent="0.45">
      <c r="A721">
        <v>20190206</v>
      </c>
      <c r="B721" s="65" t="s">
        <v>137</v>
      </c>
      <c r="C721" s="65" t="s">
        <v>130</v>
      </c>
      <c r="D721" s="65" t="s">
        <v>131</v>
      </c>
      <c r="E721" s="65" t="s">
        <v>189</v>
      </c>
    </row>
    <row r="722" spans="1:5" x14ac:dyDescent="0.45">
      <c r="A722">
        <v>20190207</v>
      </c>
      <c r="B722" s="65" t="s">
        <v>137</v>
      </c>
      <c r="C722" s="65" t="s">
        <v>130</v>
      </c>
      <c r="D722" s="65" t="s">
        <v>131</v>
      </c>
      <c r="E722" s="65" t="s">
        <v>189</v>
      </c>
    </row>
    <row r="723" spans="1:5" x14ac:dyDescent="0.45">
      <c r="A723">
        <v>20190208</v>
      </c>
      <c r="B723" s="65" t="s">
        <v>133</v>
      </c>
      <c r="C723" s="65" t="s">
        <v>130</v>
      </c>
      <c r="D723" s="65" t="s">
        <v>140</v>
      </c>
      <c r="E723" s="65" t="s">
        <v>133</v>
      </c>
    </row>
    <row r="724" spans="1:5" x14ac:dyDescent="0.45">
      <c r="A724">
        <v>20190209</v>
      </c>
      <c r="B724" s="65" t="s">
        <v>133</v>
      </c>
      <c r="C724" s="65" t="s">
        <v>130</v>
      </c>
      <c r="D724" s="65" t="s">
        <v>134</v>
      </c>
      <c r="E724" s="65" t="s">
        <v>133</v>
      </c>
    </row>
    <row r="725" spans="1:5" x14ac:dyDescent="0.45">
      <c r="A725">
        <v>20190210</v>
      </c>
      <c r="B725" s="65" t="s">
        <v>133</v>
      </c>
      <c r="C725" s="65" t="s">
        <v>130</v>
      </c>
      <c r="D725" s="65" t="s">
        <v>134</v>
      </c>
      <c r="E725" s="65" t="s">
        <v>133</v>
      </c>
    </row>
    <row r="726" spans="1:5" x14ac:dyDescent="0.45">
      <c r="A726">
        <v>20190216</v>
      </c>
      <c r="B726" s="65" t="s">
        <v>133</v>
      </c>
      <c r="C726" s="65" t="s">
        <v>130</v>
      </c>
      <c r="D726" s="65" t="s">
        <v>134</v>
      </c>
      <c r="E726" s="65" t="s">
        <v>133</v>
      </c>
    </row>
    <row r="727" spans="1:5" x14ac:dyDescent="0.45">
      <c r="A727">
        <v>20190217</v>
      </c>
      <c r="B727" s="65" t="s">
        <v>133</v>
      </c>
      <c r="C727" s="65" t="s">
        <v>130</v>
      </c>
      <c r="D727" s="65" t="s">
        <v>134</v>
      </c>
      <c r="E727" s="65" t="s">
        <v>133</v>
      </c>
    </row>
    <row r="728" spans="1:5" x14ac:dyDescent="0.45">
      <c r="A728">
        <v>20190223</v>
      </c>
      <c r="B728" s="65" t="s">
        <v>133</v>
      </c>
      <c r="C728" s="65" t="s">
        <v>142</v>
      </c>
      <c r="D728" s="65" t="s">
        <v>143</v>
      </c>
      <c r="E728" s="65" t="s">
        <v>133</v>
      </c>
    </row>
    <row r="729" spans="1:5" x14ac:dyDescent="0.45">
      <c r="A729">
        <v>20190224</v>
      </c>
      <c r="B729" s="65" t="s">
        <v>133</v>
      </c>
      <c r="C729" s="65" t="s">
        <v>130</v>
      </c>
      <c r="D729" s="65" t="s">
        <v>134</v>
      </c>
      <c r="E729" s="65" t="s">
        <v>133</v>
      </c>
    </row>
    <row r="730" spans="1:5" x14ac:dyDescent="0.45">
      <c r="A730">
        <v>20190228</v>
      </c>
      <c r="B730" s="65" t="s">
        <v>145</v>
      </c>
      <c r="C730" s="65" t="s">
        <v>130</v>
      </c>
      <c r="D730" s="65" t="s">
        <v>131</v>
      </c>
      <c r="E730" s="65" t="s">
        <v>190</v>
      </c>
    </row>
    <row r="731" spans="1:5" x14ac:dyDescent="0.45">
      <c r="A731">
        <v>20190301</v>
      </c>
      <c r="B731" s="65" t="s">
        <v>133</v>
      </c>
      <c r="C731" s="65" t="s">
        <v>130</v>
      </c>
      <c r="D731" s="65" t="s">
        <v>140</v>
      </c>
      <c r="E731" s="65" t="s">
        <v>133</v>
      </c>
    </row>
    <row r="732" spans="1:5" x14ac:dyDescent="0.45">
      <c r="A732">
        <v>20190302</v>
      </c>
      <c r="B732" s="65" t="s">
        <v>133</v>
      </c>
      <c r="C732" s="65" t="s">
        <v>130</v>
      </c>
      <c r="D732" s="65" t="s">
        <v>134</v>
      </c>
      <c r="E732" s="65" t="s">
        <v>133</v>
      </c>
    </row>
    <row r="733" spans="1:5" x14ac:dyDescent="0.45">
      <c r="A733">
        <v>20190303</v>
      </c>
      <c r="B733" s="65" t="s">
        <v>133</v>
      </c>
      <c r="C733" s="65" t="s">
        <v>130</v>
      </c>
      <c r="D733" s="65" t="s">
        <v>134</v>
      </c>
      <c r="E733" s="65" t="s">
        <v>133</v>
      </c>
    </row>
    <row r="734" spans="1:5" x14ac:dyDescent="0.45">
      <c r="A734">
        <v>20190309</v>
      </c>
      <c r="B734" s="65" t="s">
        <v>133</v>
      </c>
      <c r="C734" s="65" t="s">
        <v>130</v>
      </c>
      <c r="D734" s="65" t="s">
        <v>134</v>
      </c>
      <c r="E734" s="65" t="s">
        <v>133</v>
      </c>
    </row>
    <row r="735" spans="1:5" x14ac:dyDescent="0.45">
      <c r="A735">
        <v>20190310</v>
      </c>
      <c r="B735" s="65" t="s">
        <v>133</v>
      </c>
      <c r="C735" s="65" t="s">
        <v>130</v>
      </c>
      <c r="D735" s="65" t="s">
        <v>134</v>
      </c>
      <c r="E735" s="65" t="s">
        <v>133</v>
      </c>
    </row>
    <row r="736" spans="1:5" x14ac:dyDescent="0.45">
      <c r="A736">
        <v>20190316</v>
      </c>
      <c r="B736" s="65" t="s">
        <v>133</v>
      </c>
      <c r="C736" s="65" t="s">
        <v>130</v>
      </c>
      <c r="D736" s="65" t="s">
        <v>134</v>
      </c>
      <c r="E736" s="65" t="s">
        <v>133</v>
      </c>
    </row>
    <row r="737" spans="1:5" x14ac:dyDescent="0.45">
      <c r="A737">
        <v>20190317</v>
      </c>
      <c r="B737" s="65" t="s">
        <v>133</v>
      </c>
      <c r="C737" s="65" t="s">
        <v>130</v>
      </c>
      <c r="D737" s="65" t="s">
        <v>134</v>
      </c>
      <c r="E737" s="65" t="s">
        <v>133</v>
      </c>
    </row>
    <row r="738" spans="1:5" x14ac:dyDescent="0.45">
      <c r="A738">
        <v>20190323</v>
      </c>
      <c r="B738" s="65" t="s">
        <v>133</v>
      </c>
      <c r="C738" s="65" t="s">
        <v>130</v>
      </c>
      <c r="D738" s="65" t="s">
        <v>134</v>
      </c>
      <c r="E738" s="65" t="s">
        <v>133</v>
      </c>
    </row>
    <row r="739" spans="1:5" x14ac:dyDescent="0.45">
      <c r="A739">
        <v>20190324</v>
      </c>
      <c r="B739" s="65" t="s">
        <v>133</v>
      </c>
      <c r="C739" s="65" t="s">
        <v>130</v>
      </c>
      <c r="D739" s="65" t="s">
        <v>134</v>
      </c>
      <c r="E739" s="65" t="s">
        <v>133</v>
      </c>
    </row>
    <row r="740" spans="1:5" x14ac:dyDescent="0.45">
      <c r="A740">
        <v>20190330</v>
      </c>
      <c r="B740" s="65" t="s">
        <v>133</v>
      </c>
      <c r="C740" s="65" t="s">
        <v>130</v>
      </c>
      <c r="D740" s="65" t="s">
        <v>134</v>
      </c>
      <c r="E740" s="65" t="s">
        <v>133</v>
      </c>
    </row>
    <row r="741" spans="1:5" x14ac:dyDescent="0.45">
      <c r="A741">
        <v>20190331</v>
      </c>
      <c r="B741" s="65" t="s">
        <v>133</v>
      </c>
      <c r="C741" s="65" t="s">
        <v>130</v>
      </c>
      <c r="D741" s="65" t="s">
        <v>134</v>
      </c>
      <c r="E741" s="65" t="s">
        <v>133</v>
      </c>
    </row>
    <row r="742" spans="1:5" x14ac:dyDescent="0.45">
      <c r="A742">
        <v>20190404</v>
      </c>
      <c r="B742" s="65" t="s">
        <v>164</v>
      </c>
      <c r="C742" s="65" t="s">
        <v>130</v>
      </c>
      <c r="D742" s="65" t="s">
        <v>131</v>
      </c>
      <c r="E742" s="65" t="s">
        <v>132</v>
      </c>
    </row>
    <row r="743" spans="1:5" x14ac:dyDescent="0.45">
      <c r="A743">
        <v>20190405</v>
      </c>
      <c r="B743" s="65" t="s">
        <v>165</v>
      </c>
      <c r="C743" s="65" t="s">
        <v>130</v>
      </c>
      <c r="D743" s="65" t="s">
        <v>131</v>
      </c>
      <c r="E743" s="65" t="s">
        <v>132</v>
      </c>
    </row>
    <row r="744" spans="1:5" x14ac:dyDescent="0.45">
      <c r="A744">
        <v>20190406</v>
      </c>
      <c r="B744" s="65" t="s">
        <v>133</v>
      </c>
      <c r="C744" s="65" t="s">
        <v>130</v>
      </c>
      <c r="D744" s="65" t="s">
        <v>134</v>
      </c>
      <c r="E744" s="65" t="s">
        <v>133</v>
      </c>
    </row>
    <row r="745" spans="1:5" x14ac:dyDescent="0.45">
      <c r="A745">
        <v>20190407</v>
      </c>
      <c r="B745" s="65" t="s">
        <v>133</v>
      </c>
      <c r="C745" s="65" t="s">
        <v>130</v>
      </c>
      <c r="D745" s="65" t="s">
        <v>134</v>
      </c>
      <c r="E745" s="65" t="s">
        <v>133</v>
      </c>
    </row>
    <row r="746" spans="1:5" x14ac:dyDescent="0.45">
      <c r="A746">
        <v>20190413</v>
      </c>
      <c r="B746" s="65" t="s">
        <v>133</v>
      </c>
      <c r="C746" s="65" t="s">
        <v>130</v>
      </c>
      <c r="D746" s="65" t="s">
        <v>134</v>
      </c>
      <c r="E746" s="65" t="s">
        <v>133</v>
      </c>
    </row>
    <row r="747" spans="1:5" x14ac:dyDescent="0.45">
      <c r="A747">
        <v>20190414</v>
      </c>
      <c r="B747" s="65" t="s">
        <v>133</v>
      </c>
      <c r="C747" s="65" t="s">
        <v>130</v>
      </c>
      <c r="D747" s="65" t="s">
        <v>134</v>
      </c>
      <c r="E747" s="65" t="s">
        <v>133</v>
      </c>
    </row>
    <row r="748" spans="1:5" x14ac:dyDescent="0.45">
      <c r="A748">
        <v>20190420</v>
      </c>
      <c r="B748" s="65" t="s">
        <v>133</v>
      </c>
      <c r="C748" s="65" t="s">
        <v>130</v>
      </c>
      <c r="D748" s="65" t="s">
        <v>134</v>
      </c>
      <c r="E748" s="65" t="s">
        <v>133</v>
      </c>
    </row>
    <row r="749" spans="1:5" x14ac:dyDescent="0.45">
      <c r="A749">
        <v>20190421</v>
      </c>
      <c r="B749" s="65" t="s">
        <v>133</v>
      </c>
      <c r="C749" s="65" t="s">
        <v>130</v>
      </c>
      <c r="D749" s="65" t="s">
        <v>134</v>
      </c>
      <c r="E749" s="65" t="s">
        <v>133</v>
      </c>
    </row>
    <row r="750" spans="1:5" x14ac:dyDescent="0.45">
      <c r="A750">
        <v>20190427</v>
      </c>
      <c r="B750" s="65" t="s">
        <v>133</v>
      </c>
      <c r="C750" s="65" t="s">
        <v>130</v>
      </c>
      <c r="D750" s="65" t="s">
        <v>134</v>
      </c>
      <c r="E750" s="65" t="s">
        <v>133</v>
      </c>
    </row>
    <row r="751" spans="1:5" x14ac:dyDescent="0.45">
      <c r="A751">
        <v>20190428</v>
      </c>
      <c r="B751" s="65" t="s">
        <v>133</v>
      </c>
      <c r="C751" s="65" t="s">
        <v>130</v>
      </c>
      <c r="D751" s="65" t="s">
        <v>134</v>
      </c>
      <c r="E751" s="65" t="s">
        <v>133</v>
      </c>
    </row>
    <row r="752" spans="1:5" x14ac:dyDescent="0.45">
      <c r="A752">
        <v>20190504</v>
      </c>
      <c r="B752" s="65" t="s">
        <v>133</v>
      </c>
      <c r="C752" s="65" t="s">
        <v>130</v>
      </c>
      <c r="D752" s="65" t="s">
        <v>134</v>
      </c>
      <c r="E752" s="65" t="s">
        <v>133</v>
      </c>
    </row>
    <row r="753" spans="1:5" x14ac:dyDescent="0.45">
      <c r="A753">
        <v>20190505</v>
      </c>
      <c r="B753" s="65" t="s">
        <v>133</v>
      </c>
      <c r="C753" s="65" t="s">
        <v>130</v>
      </c>
      <c r="D753" s="65" t="s">
        <v>134</v>
      </c>
      <c r="E753" s="65" t="s">
        <v>133</v>
      </c>
    </row>
    <row r="754" spans="1:5" x14ac:dyDescent="0.45">
      <c r="A754">
        <v>20190511</v>
      </c>
      <c r="B754" s="65" t="s">
        <v>133</v>
      </c>
      <c r="C754" s="65" t="s">
        <v>130</v>
      </c>
      <c r="D754" s="65" t="s">
        <v>134</v>
      </c>
      <c r="E754" s="65" t="s">
        <v>133</v>
      </c>
    </row>
    <row r="755" spans="1:5" x14ac:dyDescent="0.45">
      <c r="A755">
        <v>20190512</v>
      </c>
      <c r="B755" s="65" t="s">
        <v>133</v>
      </c>
      <c r="C755" s="65" t="s">
        <v>130</v>
      </c>
      <c r="D755" s="65" t="s">
        <v>134</v>
      </c>
      <c r="E755" s="65" t="s">
        <v>133</v>
      </c>
    </row>
    <row r="756" spans="1:5" x14ac:dyDescent="0.45">
      <c r="A756">
        <v>20190518</v>
      </c>
      <c r="B756" s="65" t="s">
        <v>133</v>
      </c>
      <c r="C756" s="65" t="s">
        <v>130</v>
      </c>
      <c r="D756" s="65" t="s">
        <v>134</v>
      </c>
      <c r="E756" s="65" t="s">
        <v>133</v>
      </c>
    </row>
    <row r="757" spans="1:5" x14ac:dyDescent="0.45">
      <c r="A757">
        <v>20190519</v>
      </c>
      <c r="B757" s="65" t="s">
        <v>133</v>
      </c>
      <c r="C757" s="65" t="s">
        <v>130</v>
      </c>
      <c r="D757" s="65" t="s">
        <v>134</v>
      </c>
      <c r="E757" s="65" t="s">
        <v>133</v>
      </c>
    </row>
    <row r="758" spans="1:5" x14ac:dyDescent="0.45">
      <c r="A758">
        <v>20190525</v>
      </c>
      <c r="B758" s="65" t="s">
        <v>133</v>
      </c>
      <c r="C758" s="65" t="s">
        <v>130</v>
      </c>
      <c r="D758" s="65" t="s">
        <v>134</v>
      </c>
      <c r="E758" s="65" t="s">
        <v>133</v>
      </c>
    </row>
    <row r="759" spans="1:5" x14ac:dyDescent="0.45">
      <c r="A759">
        <v>20190526</v>
      </c>
      <c r="B759" s="65" t="s">
        <v>133</v>
      </c>
      <c r="C759" s="65" t="s">
        <v>130</v>
      </c>
      <c r="D759" s="65" t="s">
        <v>134</v>
      </c>
      <c r="E759" s="65" t="s">
        <v>133</v>
      </c>
    </row>
    <row r="760" spans="1:5" x14ac:dyDescent="0.45">
      <c r="A760">
        <v>20190601</v>
      </c>
      <c r="B760" s="65" t="s">
        <v>133</v>
      </c>
      <c r="C760" s="65" t="s">
        <v>130</v>
      </c>
      <c r="D760" s="65" t="s">
        <v>134</v>
      </c>
      <c r="E760" s="65" t="s">
        <v>133</v>
      </c>
    </row>
    <row r="761" spans="1:5" x14ac:dyDescent="0.45">
      <c r="A761">
        <v>20190602</v>
      </c>
      <c r="B761" s="65" t="s">
        <v>133</v>
      </c>
      <c r="C761" s="65" t="s">
        <v>130</v>
      </c>
      <c r="D761" s="65" t="s">
        <v>134</v>
      </c>
      <c r="E761" s="65" t="s">
        <v>133</v>
      </c>
    </row>
    <row r="762" spans="1:5" x14ac:dyDescent="0.45">
      <c r="A762">
        <v>20190607</v>
      </c>
      <c r="B762" s="65" t="s">
        <v>153</v>
      </c>
      <c r="C762" s="65" t="s">
        <v>130</v>
      </c>
      <c r="D762" s="65" t="s">
        <v>131</v>
      </c>
      <c r="E762" s="65" t="s">
        <v>132</v>
      </c>
    </row>
    <row r="763" spans="1:5" x14ac:dyDescent="0.45">
      <c r="A763">
        <v>20190608</v>
      </c>
      <c r="B763" s="65" t="s">
        <v>133</v>
      </c>
      <c r="C763" s="65" t="s">
        <v>130</v>
      </c>
      <c r="D763" s="65" t="s">
        <v>134</v>
      </c>
      <c r="E763" s="65" t="s">
        <v>133</v>
      </c>
    </row>
    <row r="764" spans="1:5" x14ac:dyDescent="0.45">
      <c r="A764">
        <v>20190609</v>
      </c>
      <c r="B764" s="65" t="s">
        <v>133</v>
      </c>
      <c r="C764" s="65" t="s">
        <v>130</v>
      </c>
      <c r="D764" s="65" t="s">
        <v>134</v>
      </c>
      <c r="E764" s="65" t="s">
        <v>133</v>
      </c>
    </row>
    <row r="765" spans="1:5" x14ac:dyDescent="0.45">
      <c r="A765">
        <v>20190615</v>
      </c>
      <c r="B765" s="65" t="s">
        <v>133</v>
      </c>
      <c r="C765" s="65" t="s">
        <v>130</v>
      </c>
      <c r="D765" s="65" t="s">
        <v>134</v>
      </c>
      <c r="E765" s="65" t="s">
        <v>133</v>
      </c>
    </row>
    <row r="766" spans="1:5" x14ac:dyDescent="0.45">
      <c r="A766">
        <v>20190616</v>
      </c>
      <c r="B766" s="65" t="s">
        <v>133</v>
      </c>
      <c r="C766" s="65" t="s">
        <v>130</v>
      </c>
      <c r="D766" s="65" t="s">
        <v>134</v>
      </c>
      <c r="E766" s="65" t="s">
        <v>133</v>
      </c>
    </row>
    <row r="767" spans="1:5" x14ac:dyDescent="0.45">
      <c r="A767">
        <v>20190622</v>
      </c>
      <c r="B767" s="65" t="s">
        <v>133</v>
      </c>
      <c r="C767" s="65" t="s">
        <v>130</v>
      </c>
      <c r="D767" s="65" t="s">
        <v>134</v>
      </c>
      <c r="E767" s="65" t="s">
        <v>133</v>
      </c>
    </row>
    <row r="768" spans="1:5" x14ac:dyDescent="0.45">
      <c r="A768">
        <v>20190623</v>
      </c>
      <c r="B768" s="65" t="s">
        <v>133</v>
      </c>
      <c r="C768" s="65" t="s">
        <v>130</v>
      </c>
      <c r="D768" s="65" t="s">
        <v>134</v>
      </c>
      <c r="E768" s="65" t="s">
        <v>133</v>
      </c>
    </row>
    <row r="769" spans="1:5" x14ac:dyDescent="0.45">
      <c r="A769">
        <v>20190629</v>
      </c>
      <c r="B769" s="65" t="s">
        <v>133</v>
      </c>
      <c r="C769" s="65" t="s">
        <v>130</v>
      </c>
      <c r="D769" s="65" t="s">
        <v>134</v>
      </c>
      <c r="E769" s="65" t="s">
        <v>133</v>
      </c>
    </row>
    <row r="770" spans="1:5" x14ac:dyDescent="0.45">
      <c r="A770">
        <v>20190630</v>
      </c>
      <c r="B770" s="65" t="s">
        <v>133</v>
      </c>
      <c r="C770" s="65" t="s">
        <v>130</v>
      </c>
      <c r="D770" s="65" t="s">
        <v>134</v>
      </c>
      <c r="E770" s="65" t="s">
        <v>133</v>
      </c>
    </row>
    <row r="771" spans="1:5" x14ac:dyDescent="0.45">
      <c r="A771">
        <v>20190706</v>
      </c>
      <c r="B771" s="65" t="s">
        <v>133</v>
      </c>
      <c r="C771" s="65" t="s">
        <v>130</v>
      </c>
      <c r="D771" s="65" t="s">
        <v>134</v>
      </c>
      <c r="E771" s="65" t="s">
        <v>133</v>
      </c>
    </row>
    <row r="772" spans="1:5" x14ac:dyDescent="0.45">
      <c r="A772">
        <v>20190707</v>
      </c>
      <c r="B772" s="65" t="s">
        <v>133</v>
      </c>
      <c r="C772" s="65" t="s">
        <v>130</v>
      </c>
      <c r="D772" s="65" t="s">
        <v>134</v>
      </c>
      <c r="E772" s="65" t="s">
        <v>133</v>
      </c>
    </row>
    <row r="773" spans="1:5" x14ac:dyDescent="0.45">
      <c r="A773">
        <v>20190713</v>
      </c>
      <c r="B773" s="65" t="s">
        <v>133</v>
      </c>
      <c r="C773" s="65" t="s">
        <v>130</v>
      </c>
      <c r="D773" s="65" t="s">
        <v>134</v>
      </c>
      <c r="E773" s="65" t="s">
        <v>133</v>
      </c>
    </row>
    <row r="774" spans="1:5" x14ac:dyDescent="0.45">
      <c r="A774">
        <v>20190714</v>
      </c>
      <c r="B774" s="65" t="s">
        <v>133</v>
      </c>
      <c r="C774" s="65" t="s">
        <v>130</v>
      </c>
      <c r="D774" s="65" t="s">
        <v>134</v>
      </c>
      <c r="E774" s="65" t="s">
        <v>133</v>
      </c>
    </row>
    <row r="775" spans="1:5" x14ac:dyDescent="0.45">
      <c r="A775">
        <v>20190720</v>
      </c>
      <c r="B775" s="65" t="s">
        <v>133</v>
      </c>
      <c r="C775" s="65" t="s">
        <v>130</v>
      </c>
      <c r="D775" s="65" t="s">
        <v>134</v>
      </c>
      <c r="E775" s="65" t="s">
        <v>133</v>
      </c>
    </row>
    <row r="776" spans="1:5" x14ac:dyDescent="0.45">
      <c r="A776">
        <v>20190721</v>
      </c>
      <c r="B776" s="65" t="s">
        <v>133</v>
      </c>
      <c r="C776" s="65" t="s">
        <v>130</v>
      </c>
      <c r="D776" s="65" t="s">
        <v>134</v>
      </c>
      <c r="E776" s="65" t="s">
        <v>133</v>
      </c>
    </row>
    <row r="777" spans="1:5" x14ac:dyDescent="0.45">
      <c r="A777">
        <v>20190727</v>
      </c>
      <c r="B777" s="65" t="s">
        <v>133</v>
      </c>
      <c r="C777" s="65" t="s">
        <v>130</v>
      </c>
      <c r="D777" s="65" t="s">
        <v>134</v>
      </c>
      <c r="E777" s="65" t="s">
        <v>133</v>
      </c>
    </row>
    <row r="778" spans="1:5" x14ac:dyDescent="0.45">
      <c r="A778">
        <v>20190728</v>
      </c>
      <c r="B778" s="65" t="s">
        <v>133</v>
      </c>
      <c r="C778" s="65" t="s">
        <v>130</v>
      </c>
      <c r="D778" s="65" t="s">
        <v>134</v>
      </c>
      <c r="E778" s="65" t="s">
        <v>133</v>
      </c>
    </row>
    <row r="779" spans="1:5" x14ac:dyDescent="0.45">
      <c r="A779">
        <v>20190803</v>
      </c>
      <c r="B779" s="65" t="s">
        <v>133</v>
      </c>
      <c r="C779" s="65" t="s">
        <v>130</v>
      </c>
      <c r="D779" s="65" t="s">
        <v>134</v>
      </c>
      <c r="E779" s="65" t="s">
        <v>133</v>
      </c>
    </row>
    <row r="780" spans="1:5" x14ac:dyDescent="0.45">
      <c r="A780">
        <v>20190804</v>
      </c>
      <c r="B780" s="65" t="s">
        <v>133</v>
      </c>
      <c r="C780" s="65" t="s">
        <v>130</v>
      </c>
      <c r="D780" s="65" t="s">
        <v>134</v>
      </c>
      <c r="E780" s="65" t="s">
        <v>133</v>
      </c>
    </row>
    <row r="781" spans="1:5" x14ac:dyDescent="0.45">
      <c r="A781">
        <v>20190810</v>
      </c>
      <c r="B781" s="65" t="s">
        <v>133</v>
      </c>
      <c r="C781" s="65" t="s">
        <v>130</v>
      </c>
      <c r="D781" s="65" t="s">
        <v>134</v>
      </c>
      <c r="E781" s="65" t="s">
        <v>133</v>
      </c>
    </row>
    <row r="782" spans="1:5" x14ac:dyDescent="0.45">
      <c r="A782">
        <v>20190811</v>
      </c>
      <c r="B782" s="65" t="s">
        <v>133</v>
      </c>
      <c r="C782" s="65" t="s">
        <v>130</v>
      </c>
      <c r="D782" s="65" t="s">
        <v>134</v>
      </c>
      <c r="E782" s="65" t="s">
        <v>133</v>
      </c>
    </row>
    <row r="783" spans="1:5" x14ac:dyDescent="0.45">
      <c r="A783">
        <v>20190817</v>
      </c>
      <c r="B783" s="65" t="s">
        <v>133</v>
      </c>
      <c r="C783" s="65" t="s">
        <v>130</v>
      </c>
      <c r="D783" s="65" t="s">
        <v>134</v>
      </c>
      <c r="E783" s="65" t="s">
        <v>133</v>
      </c>
    </row>
    <row r="784" spans="1:5" x14ac:dyDescent="0.45">
      <c r="A784">
        <v>20190818</v>
      </c>
      <c r="B784" s="65" t="s">
        <v>133</v>
      </c>
      <c r="C784" s="65" t="s">
        <v>130</v>
      </c>
      <c r="D784" s="65" t="s">
        <v>134</v>
      </c>
      <c r="E784" s="65" t="s">
        <v>133</v>
      </c>
    </row>
    <row r="785" spans="1:5" x14ac:dyDescent="0.45">
      <c r="A785">
        <v>20190824</v>
      </c>
      <c r="B785" s="65" t="s">
        <v>133</v>
      </c>
      <c r="C785" s="65" t="s">
        <v>130</v>
      </c>
      <c r="D785" s="65" t="s">
        <v>134</v>
      </c>
      <c r="E785" s="65" t="s">
        <v>133</v>
      </c>
    </row>
    <row r="786" spans="1:5" x14ac:dyDescent="0.45">
      <c r="A786">
        <v>20190825</v>
      </c>
      <c r="B786" s="65" t="s">
        <v>133</v>
      </c>
      <c r="C786" s="65" t="s">
        <v>130</v>
      </c>
      <c r="D786" s="65" t="s">
        <v>134</v>
      </c>
      <c r="E786" s="65" t="s">
        <v>133</v>
      </c>
    </row>
    <row r="787" spans="1:5" x14ac:dyDescent="0.45">
      <c r="A787">
        <v>20190831</v>
      </c>
      <c r="B787" s="65" t="s">
        <v>133</v>
      </c>
      <c r="C787" s="65" t="s">
        <v>130</v>
      </c>
      <c r="D787" s="65" t="s">
        <v>134</v>
      </c>
      <c r="E787" s="65" t="s">
        <v>133</v>
      </c>
    </row>
    <row r="788" spans="1:5" x14ac:dyDescent="0.45">
      <c r="A788">
        <v>20190901</v>
      </c>
      <c r="B788" s="65" t="s">
        <v>133</v>
      </c>
      <c r="C788" s="65" t="s">
        <v>130</v>
      </c>
      <c r="D788" s="65" t="s">
        <v>134</v>
      </c>
      <c r="E788" s="65" t="s">
        <v>133</v>
      </c>
    </row>
    <row r="789" spans="1:5" x14ac:dyDescent="0.45">
      <c r="A789">
        <v>20190907</v>
      </c>
      <c r="B789" s="65" t="s">
        <v>133</v>
      </c>
      <c r="C789" s="65" t="s">
        <v>130</v>
      </c>
      <c r="D789" s="65" t="s">
        <v>134</v>
      </c>
      <c r="E789" s="65" t="s">
        <v>133</v>
      </c>
    </row>
    <row r="790" spans="1:5" x14ac:dyDescent="0.45">
      <c r="A790">
        <v>20190908</v>
      </c>
      <c r="B790" s="65" t="s">
        <v>133</v>
      </c>
      <c r="C790" s="65" t="s">
        <v>130</v>
      </c>
      <c r="D790" s="65" t="s">
        <v>134</v>
      </c>
      <c r="E790" s="65" t="s">
        <v>133</v>
      </c>
    </row>
    <row r="791" spans="1:5" x14ac:dyDescent="0.45">
      <c r="A791">
        <v>20190913</v>
      </c>
      <c r="B791" s="65" t="s">
        <v>154</v>
      </c>
      <c r="C791" s="65" t="s">
        <v>130</v>
      </c>
      <c r="D791" s="65" t="s">
        <v>131</v>
      </c>
      <c r="E791" s="65" t="s">
        <v>132</v>
      </c>
    </row>
    <row r="792" spans="1:5" x14ac:dyDescent="0.45">
      <c r="A792">
        <v>20190914</v>
      </c>
      <c r="B792" s="65" t="s">
        <v>133</v>
      </c>
      <c r="C792" s="65" t="s">
        <v>130</v>
      </c>
      <c r="D792" s="65" t="s">
        <v>134</v>
      </c>
      <c r="E792" s="65" t="s">
        <v>133</v>
      </c>
    </row>
    <row r="793" spans="1:5" x14ac:dyDescent="0.45">
      <c r="A793">
        <v>20190915</v>
      </c>
      <c r="B793" s="65" t="s">
        <v>133</v>
      </c>
      <c r="C793" s="65" t="s">
        <v>130</v>
      </c>
      <c r="D793" s="65" t="s">
        <v>134</v>
      </c>
      <c r="E793" s="65" t="s">
        <v>133</v>
      </c>
    </row>
    <row r="794" spans="1:5" x14ac:dyDescent="0.45">
      <c r="A794">
        <v>20190921</v>
      </c>
      <c r="B794" s="65" t="s">
        <v>133</v>
      </c>
      <c r="C794" s="65" t="s">
        <v>130</v>
      </c>
      <c r="D794" s="65" t="s">
        <v>134</v>
      </c>
      <c r="E794" s="65" t="s">
        <v>133</v>
      </c>
    </row>
    <row r="795" spans="1:5" x14ac:dyDescent="0.45">
      <c r="A795">
        <v>20190922</v>
      </c>
      <c r="B795" s="65" t="s">
        <v>133</v>
      </c>
      <c r="C795" s="65" t="s">
        <v>130</v>
      </c>
      <c r="D795" s="65" t="s">
        <v>134</v>
      </c>
      <c r="E795" s="65" t="s">
        <v>133</v>
      </c>
    </row>
    <row r="796" spans="1:5" x14ac:dyDescent="0.45">
      <c r="A796">
        <v>20190928</v>
      </c>
      <c r="B796" s="65" t="s">
        <v>133</v>
      </c>
      <c r="C796" s="65" t="s">
        <v>130</v>
      </c>
      <c r="D796" s="65" t="s">
        <v>134</v>
      </c>
      <c r="E796" s="65" t="s">
        <v>133</v>
      </c>
    </row>
    <row r="797" spans="1:5" x14ac:dyDescent="0.45">
      <c r="A797">
        <v>20190929</v>
      </c>
      <c r="B797" s="65" t="s">
        <v>133</v>
      </c>
      <c r="C797" s="65" t="s">
        <v>130</v>
      </c>
      <c r="D797" s="65" t="s">
        <v>134</v>
      </c>
      <c r="E797" s="65" t="s">
        <v>133</v>
      </c>
    </row>
    <row r="798" spans="1:5" x14ac:dyDescent="0.45">
      <c r="A798">
        <v>20191005</v>
      </c>
      <c r="B798" s="65" t="s">
        <v>133</v>
      </c>
      <c r="C798" s="65" t="s">
        <v>142</v>
      </c>
      <c r="D798" s="65" t="s">
        <v>143</v>
      </c>
      <c r="E798" s="65" t="s">
        <v>133</v>
      </c>
    </row>
    <row r="799" spans="1:5" x14ac:dyDescent="0.45">
      <c r="A799">
        <v>20191006</v>
      </c>
      <c r="B799" s="65" t="s">
        <v>133</v>
      </c>
      <c r="C799" s="65" t="s">
        <v>130</v>
      </c>
      <c r="D799" s="65" t="s">
        <v>134</v>
      </c>
      <c r="E799" s="65" t="s">
        <v>133</v>
      </c>
    </row>
    <row r="800" spans="1:5" x14ac:dyDescent="0.45">
      <c r="A800">
        <v>20191010</v>
      </c>
      <c r="B800" s="65" t="s">
        <v>158</v>
      </c>
      <c r="C800" s="65" t="s">
        <v>130</v>
      </c>
      <c r="D800" s="65" t="s">
        <v>131</v>
      </c>
      <c r="E800" s="65" t="s">
        <v>191</v>
      </c>
    </row>
    <row r="801" spans="1:5" x14ac:dyDescent="0.45">
      <c r="A801">
        <v>20191011</v>
      </c>
      <c r="B801" s="65" t="s">
        <v>133</v>
      </c>
      <c r="C801" s="65" t="s">
        <v>130</v>
      </c>
      <c r="D801" s="65" t="s">
        <v>140</v>
      </c>
      <c r="E801" s="65" t="s">
        <v>133</v>
      </c>
    </row>
    <row r="802" spans="1:5" x14ac:dyDescent="0.45">
      <c r="A802">
        <v>20191012</v>
      </c>
      <c r="B802" s="65" t="s">
        <v>133</v>
      </c>
      <c r="C802" s="65" t="s">
        <v>130</v>
      </c>
      <c r="D802" s="65" t="s">
        <v>134</v>
      </c>
      <c r="E802" s="65" t="s">
        <v>133</v>
      </c>
    </row>
    <row r="803" spans="1:5" x14ac:dyDescent="0.45">
      <c r="A803">
        <v>20191013</v>
      </c>
      <c r="B803" s="65" t="s">
        <v>133</v>
      </c>
      <c r="C803" s="65" t="s">
        <v>130</v>
      </c>
      <c r="D803" s="65" t="s">
        <v>134</v>
      </c>
      <c r="E803" s="65" t="s">
        <v>133</v>
      </c>
    </row>
    <row r="804" spans="1:5" x14ac:dyDescent="0.45">
      <c r="A804">
        <v>20191019</v>
      </c>
      <c r="B804" s="65" t="s">
        <v>133</v>
      </c>
      <c r="C804" s="65" t="s">
        <v>130</v>
      </c>
      <c r="D804" s="65" t="s">
        <v>134</v>
      </c>
      <c r="E804" s="65" t="s">
        <v>133</v>
      </c>
    </row>
    <row r="805" spans="1:5" x14ac:dyDescent="0.45">
      <c r="A805">
        <v>20191020</v>
      </c>
      <c r="B805" s="65" t="s">
        <v>133</v>
      </c>
      <c r="C805" s="65" t="s">
        <v>130</v>
      </c>
      <c r="D805" s="65" t="s">
        <v>134</v>
      </c>
      <c r="E805" s="65" t="s">
        <v>133</v>
      </c>
    </row>
    <row r="806" spans="1:5" x14ac:dyDescent="0.45">
      <c r="A806">
        <v>20191026</v>
      </c>
      <c r="B806" s="65" t="s">
        <v>133</v>
      </c>
      <c r="C806" s="65" t="s">
        <v>130</v>
      </c>
      <c r="D806" s="65" t="s">
        <v>134</v>
      </c>
      <c r="E806" s="65" t="s">
        <v>133</v>
      </c>
    </row>
    <row r="807" spans="1:5" x14ac:dyDescent="0.45">
      <c r="A807">
        <v>20191027</v>
      </c>
      <c r="B807" s="65" t="s">
        <v>133</v>
      </c>
      <c r="C807" s="65" t="s">
        <v>130</v>
      </c>
      <c r="D807" s="65" t="s">
        <v>134</v>
      </c>
      <c r="E807" s="65" t="s">
        <v>133</v>
      </c>
    </row>
    <row r="808" spans="1:5" x14ac:dyDescent="0.45">
      <c r="A808">
        <v>20191102</v>
      </c>
      <c r="B808" s="65" t="s">
        <v>133</v>
      </c>
      <c r="C808" s="65" t="s">
        <v>130</v>
      </c>
      <c r="D808" s="65" t="s">
        <v>134</v>
      </c>
      <c r="E808" s="65" t="s">
        <v>133</v>
      </c>
    </row>
    <row r="809" spans="1:5" x14ac:dyDescent="0.45">
      <c r="A809">
        <v>20191103</v>
      </c>
      <c r="B809" s="65" t="s">
        <v>133</v>
      </c>
      <c r="C809" s="65" t="s">
        <v>130</v>
      </c>
      <c r="D809" s="65" t="s">
        <v>134</v>
      </c>
      <c r="E809" s="65" t="s">
        <v>133</v>
      </c>
    </row>
    <row r="810" spans="1:5" x14ac:dyDescent="0.45">
      <c r="A810">
        <v>20191109</v>
      </c>
      <c r="B810" s="65" t="s">
        <v>133</v>
      </c>
      <c r="C810" s="65" t="s">
        <v>130</v>
      </c>
      <c r="D810" s="65" t="s">
        <v>134</v>
      </c>
      <c r="E810" s="65" t="s">
        <v>133</v>
      </c>
    </row>
    <row r="811" spans="1:5" x14ac:dyDescent="0.45">
      <c r="A811">
        <v>20191110</v>
      </c>
      <c r="B811" s="65" t="s">
        <v>133</v>
      </c>
      <c r="C811" s="65" t="s">
        <v>130</v>
      </c>
      <c r="D811" s="65" t="s">
        <v>134</v>
      </c>
      <c r="E811" s="65" t="s">
        <v>133</v>
      </c>
    </row>
    <row r="812" spans="1:5" x14ac:dyDescent="0.45">
      <c r="A812">
        <v>20191116</v>
      </c>
      <c r="B812" s="65" t="s">
        <v>133</v>
      </c>
      <c r="C812" s="65" t="s">
        <v>130</v>
      </c>
      <c r="D812" s="65" t="s">
        <v>134</v>
      </c>
      <c r="E812" s="65" t="s">
        <v>133</v>
      </c>
    </row>
    <row r="813" spans="1:5" x14ac:dyDescent="0.45">
      <c r="A813">
        <v>20191117</v>
      </c>
      <c r="B813" s="65" t="s">
        <v>133</v>
      </c>
      <c r="C813" s="65" t="s">
        <v>130</v>
      </c>
      <c r="D813" s="65" t="s">
        <v>134</v>
      </c>
      <c r="E813" s="65" t="s">
        <v>133</v>
      </c>
    </row>
    <row r="814" spans="1:5" x14ac:dyDescent="0.45">
      <c r="A814">
        <v>20191123</v>
      </c>
      <c r="B814" s="65" t="s">
        <v>133</v>
      </c>
      <c r="C814" s="65" t="s">
        <v>130</v>
      </c>
      <c r="D814" s="65" t="s">
        <v>134</v>
      </c>
      <c r="E814" s="65" t="s">
        <v>133</v>
      </c>
    </row>
    <row r="815" spans="1:5" x14ac:dyDescent="0.45">
      <c r="A815">
        <v>20191124</v>
      </c>
      <c r="B815" s="65" t="s">
        <v>133</v>
      </c>
      <c r="C815" s="65" t="s">
        <v>130</v>
      </c>
      <c r="D815" s="65" t="s">
        <v>134</v>
      </c>
      <c r="E815" s="65" t="s">
        <v>133</v>
      </c>
    </row>
    <row r="816" spans="1:5" x14ac:dyDescent="0.45">
      <c r="A816">
        <v>20191130</v>
      </c>
      <c r="B816" s="65" t="s">
        <v>133</v>
      </c>
      <c r="C816" s="65" t="s">
        <v>130</v>
      </c>
      <c r="D816" s="65" t="s">
        <v>134</v>
      </c>
      <c r="E816" s="65" t="s">
        <v>133</v>
      </c>
    </row>
    <row r="817" spans="1:5" x14ac:dyDescent="0.45">
      <c r="A817">
        <v>20191201</v>
      </c>
      <c r="B817" s="65" t="s">
        <v>133</v>
      </c>
      <c r="C817" s="65" t="s">
        <v>130</v>
      </c>
      <c r="D817" s="65" t="s">
        <v>134</v>
      </c>
      <c r="E817" s="65" t="s">
        <v>133</v>
      </c>
    </row>
    <row r="818" spans="1:5" x14ac:dyDescent="0.45">
      <c r="A818">
        <v>20191207</v>
      </c>
      <c r="B818" s="65" t="s">
        <v>133</v>
      </c>
      <c r="C818" s="65" t="s">
        <v>130</v>
      </c>
      <c r="D818" s="65" t="s">
        <v>134</v>
      </c>
      <c r="E818" s="65" t="s">
        <v>133</v>
      </c>
    </row>
    <row r="819" spans="1:5" x14ac:dyDescent="0.45">
      <c r="A819">
        <v>20191208</v>
      </c>
      <c r="B819" s="65" t="s">
        <v>133</v>
      </c>
      <c r="C819" s="65" t="s">
        <v>130</v>
      </c>
      <c r="D819" s="65" t="s">
        <v>134</v>
      </c>
      <c r="E819" s="65" t="s">
        <v>133</v>
      </c>
    </row>
    <row r="820" spans="1:5" x14ac:dyDescent="0.45">
      <c r="A820">
        <v>20191214</v>
      </c>
      <c r="B820" s="65" t="s">
        <v>133</v>
      </c>
      <c r="C820" s="65" t="s">
        <v>130</v>
      </c>
      <c r="D820" s="65" t="s">
        <v>134</v>
      </c>
      <c r="E820" s="65" t="s">
        <v>133</v>
      </c>
    </row>
    <row r="821" spans="1:5" x14ac:dyDescent="0.45">
      <c r="A821">
        <v>20191215</v>
      </c>
      <c r="B821" s="65" t="s">
        <v>133</v>
      </c>
      <c r="C821" s="65" t="s">
        <v>130</v>
      </c>
      <c r="D821" s="65" t="s">
        <v>134</v>
      </c>
      <c r="E821" s="65" t="s">
        <v>133</v>
      </c>
    </row>
    <row r="822" spans="1:5" x14ac:dyDescent="0.45">
      <c r="A822">
        <v>20191221</v>
      </c>
      <c r="B822" s="65" t="s">
        <v>133</v>
      </c>
      <c r="C822" s="65" t="s">
        <v>130</v>
      </c>
      <c r="D822" s="65" t="s">
        <v>134</v>
      </c>
      <c r="E822" s="65" t="s">
        <v>133</v>
      </c>
    </row>
    <row r="823" spans="1:5" x14ac:dyDescent="0.45">
      <c r="A823">
        <v>20191222</v>
      </c>
      <c r="B823" s="65" t="s">
        <v>133</v>
      </c>
      <c r="C823" s="65" t="s">
        <v>130</v>
      </c>
      <c r="D823" s="65" t="s">
        <v>134</v>
      </c>
      <c r="E823" s="65" t="s">
        <v>133</v>
      </c>
    </row>
    <row r="824" spans="1:5" x14ac:dyDescent="0.45">
      <c r="A824">
        <v>20191228</v>
      </c>
      <c r="B824" s="65" t="s">
        <v>133</v>
      </c>
      <c r="C824" s="65" t="s">
        <v>130</v>
      </c>
      <c r="D824" s="65" t="s">
        <v>134</v>
      </c>
      <c r="E824" s="65" t="s">
        <v>133</v>
      </c>
    </row>
    <row r="825" spans="1:5" x14ac:dyDescent="0.45">
      <c r="A825">
        <v>20191229</v>
      </c>
      <c r="B825" s="65" t="s">
        <v>133</v>
      </c>
      <c r="C825" s="65" t="s">
        <v>130</v>
      </c>
      <c r="D825" s="65" t="s">
        <v>134</v>
      </c>
      <c r="E825" s="65" t="s">
        <v>133</v>
      </c>
    </row>
    <row r="826" spans="1:5" x14ac:dyDescent="0.45">
      <c r="A826">
        <v>20200101</v>
      </c>
      <c r="B826" s="65" t="s">
        <v>129</v>
      </c>
      <c r="C826" s="65" t="s">
        <v>130</v>
      </c>
      <c r="D826" s="65" t="s">
        <v>131</v>
      </c>
      <c r="E826" s="65" t="s">
        <v>132</v>
      </c>
    </row>
    <row r="827" spans="1:5" x14ac:dyDescent="0.45">
      <c r="A827">
        <v>20200104</v>
      </c>
      <c r="B827" s="65" t="s">
        <v>133</v>
      </c>
      <c r="C827" s="65" t="s">
        <v>130</v>
      </c>
      <c r="D827" s="65" t="s">
        <v>134</v>
      </c>
      <c r="E827" s="65" t="s">
        <v>133</v>
      </c>
    </row>
    <row r="828" spans="1:5" x14ac:dyDescent="0.45">
      <c r="A828">
        <v>20200105</v>
      </c>
      <c r="B828" s="65" t="s">
        <v>133</v>
      </c>
      <c r="C828" s="65" t="s">
        <v>130</v>
      </c>
      <c r="D828" s="65" t="s">
        <v>134</v>
      </c>
      <c r="E828" s="65" t="s">
        <v>133</v>
      </c>
    </row>
    <row r="829" spans="1:5" x14ac:dyDescent="0.45">
      <c r="A829">
        <v>20200111</v>
      </c>
      <c r="B829" s="65" t="s">
        <v>133</v>
      </c>
      <c r="C829" s="65" t="s">
        <v>130</v>
      </c>
      <c r="D829" s="65" t="s">
        <v>134</v>
      </c>
      <c r="E829" s="65" t="s">
        <v>133</v>
      </c>
    </row>
    <row r="830" spans="1:5" x14ac:dyDescent="0.45">
      <c r="A830">
        <v>20200112</v>
      </c>
      <c r="B830" s="65" t="s">
        <v>133</v>
      </c>
      <c r="C830" s="65" t="s">
        <v>130</v>
      </c>
      <c r="D830" s="65" t="s">
        <v>134</v>
      </c>
      <c r="E830" s="65" t="s">
        <v>133</v>
      </c>
    </row>
    <row r="831" spans="1:5" x14ac:dyDescent="0.45">
      <c r="A831">
        <v>20200118</v>
      </c>
      <c r="B831" s="65" t="s">
        <v>133</v>
      </c>
      <c r="C831" s="65" t="s">
        <v>130</v>
      </c>
      <c r="D831" s="65" t="s">
        <v>134</v>
      </c>
      <c r="E831" s="65" t="s">
        <v>133</v>
      </c>
    </row>
    <row r="832" spans="1:5" x14ac:dyDescent="0.45">
      <c r="A832">
        <v>20200119</v>
      </c>
      <c r="B832" s="65" t="s">
        <v>133</v>
      </c>
      <c r="C832" s="65" t="s">
        <v>130</v>
      </c>
      <c r="D832" s="65" t="s">
        <v>134</v>
      </c>
      <c r="E832" s="65" t="s">
        <v>133</v>
      </c>
    </row>
    <row r="833" spans="1:5" x14ac:dyDescent="0.45">
      <c r="A833">
        <v>20200123</v>
      </c>
      <c r="B833" s="65" t="s">
        <v>133</v>
      </c>
      <c r="C833" s="65" t="s">
        <v>130</v>
      </c>
      <c r="D833" s="65" t="s">
        <v>140</v>
      </c>
      <c r="E833" s="65" t="s">
        <v>133</v>
      </c>
    </row>
    <row r="834" spans="1:5" x14ac:dyDescent="0.45">
      <c r="A834">
        <v>20200124</v>
      </c>
      <c r="B834" s="65" t="s">
        <v>135</v>
      </c>
      <c r="C834" s="65" t="s">
        <v>130</v>
      </c>
      <c r="D834" s="65" t="s">
        <v>131</v>
      </c>
      <c r="E834" s="65" t="s">
        <v>192</v>
      </c>
    </row>
    <row r="835" spans="1:5" x14ac:dyDescent="0.45">
      <c r="A835">
        <v>20200125</v>
      </c>
      <c r="B835" s="65" t="s">
        <v>137</v>
      </c>
      <c r="C835" s="65" t="s">
        <v>130</v>
      </c>
      <c r="D835" s="65" t="s">
        <v>131</v>
      </c>
      <c r="E835" s="65" t="s">
        <v>193</v>
      </c>
    </row>
    <row r="836" spans="1:5" x14ac:dyDescent="0.45">
      <c r="A836">
        <v>20200126</v>
      </c>
      <c r="B836" s="65" t="s">
        <v>137</v>
      </c>
      <c r="C836" s="65" t="s">
        <v>130</v>
      </c>
      <c r="D836" s="65" t="s">
        <v>131</v>
      </c>
      <c r="E836" s="65" t="s">
        <v>193</v>
      </c>
    </row>
    <row r="837" spans="1:5" x14ac:dyDescent="0.45">
      <c r="A837">
        <v>20200127</v>
      </c>
      <c r="B837" s="65" t="s">
        <v>137</v>
      </c>
      <c r="C837" s="65" t="s">
        <v>130</v>
      </c>
      <c r="D837" s="65" t="s">
        <v>131</v>
      </c>
      <c r="E837" s="65" t="s">
        <v>193</v>
      </c>
    </row>
    <row r="838" spans="1:5" x14ac:dyDescent="0.45">
      <c r="A838">
        <v>20200128</v>
      </c>
      <c r="B838" s="65" t="s">
        <v>133</v>
      </c>
      <c r="C838" s="65" t="s">
        <v>130</v>
      </c>
      <c r="D838" s="65" t="s">
        <v>139</v>
      </c>
      <c r="E838" s="65" t="s">
        <v>133</v>
      </c>
    </row>
    <row r="839" spans="1:5" x14ac:dyDescent="0.45">
      <c r="A839">
        <v>20200129</v>
      </c>
      <c r="B839" s="65" t="s">
        <v>133</v>
      </c>
      <c r="C839" s="65" t="s">
        <v>130</v>
      </c>
      <c r="D839" s="65" t="s">
        <v>139</v>
      </c>
      <c r="E839" s="65" t="s">
        <v>133</v>
      </c>
    </row>
    <row r="840" spans="1:5" x14ac:dyDescent="0.45">
      <c r="A840">
        <v>20200201</v>
      </c>
      <c r="B840" s="65" t="s">
        <v>133</v>
      </c>
      <c r="C840" s="65" t="s">
        <v>130</v>
      </c>
      <c r="D840" s="65" t="s">
        <v>134</v>
      </c>
      <c r="E840" s="65" t="s">
        <v>133</v>
      </c>
    </row>
    <row r="841" spans="1:5" x14ac:dyDescent="0.45">
      <c r="A841">
        <v>20200202</v>
      </c>
      <c r="B841" s="65" t="s">
        <v>133</v>
      </c>
      <c r="C841" s="65" t="s">
        <v>130</v>
      </c>
      <c r="D841" s="65" t="s">
        <v>134</v>
      </c>
      <c r="E841" s="65" t="s">
        <v>133</v>
      </c>
    </row>
    <row r="842" spans="1:5" x14ac:dyDescent="0.45">
      <c r="A842">
        <v>20200208</v>
      </c>
      <c r="B842" s="65" t="s">
        <v>133</v>
      </c>
      <c r="C842" s="65" t="s">
        <v>130</v>
      </c>
      <c r="D842" s="65" t="s">
        <v>134</v>
      </c>
      <c r="E842" s="65" t="s">
        <v>133</v>
      </c>
    </row>
    <row r="843" spans="1:5" x14ac:dyDescent="0.45">
      <c r="A843">
        <v>20200209</v>
      </c>
      <c r="B843" s="65" t="s">
        <v>133</v>
      </c>
      <c r="C843" s="65" t="s">
        <v>130</v>
      </c>
      <c r="D843" s="65" t="s">
        <v>134</v>
      </c>
      <c r="E843" s="65" t="s">
        <v>133</v>
      </c>
    </row>
    <row r="844" spans="1:5" x14ac:dyDescent="0.45">
      <c r="A844">
        <v>20200215</v>
      </c>
      <c r="B844" s="65" t="s">
        <v>133</v>
      </c>
      <c r="C844" s="65" t="s">
        <v>142</v>
      </c>
      <c r="D844" s="65" t="s">
        <v>143</v>
      </c>
      <c r="E844" s="65" t="s">
        <v>133</v>
      </c>
    </row>
    <row r="845" spans="1:5" x14ac:dyDescent="0.45">
      <c r="A845">
        <v>20200216</v>
      </c>
      <c r="B845" s="65" t="s">
        <v>133</v>
      </c>
      <c r="C845" s="65" t="s">
        <v>130</v>
      </c>
      <c r="D845" s="65" t="s">
        <v>134</v>
      </c>
      <c r="E845" s="65" t="s">
        <v>133</v>
      </c>
    </row>
    <row r="846" spans="1:5" x14ac:dyDescent="0.45">
      <c r="A846">
        <v>20200222</v>
      </c>
      <c r="B846" s="65" t="s">
        <v>133</v>
      </c>
      <c r="C846" s="65" t="s">
        <v>130</v>
      </c>
      <c r="D846" s="65" t="s">
        <v>134</v>
      </c>
      <c r="E846" s="65" t="s">
        <v>133</v>
      </c>
    </row>
    <row r="847" spans="1:5" x14ac:dyDescent="0.45">
      <c r="A847">
        <v>20200223</v>
      </c>
      <c r="B847" s="65" t="s">
        <v>133</v>
      </c>
      <c r="C847" s="65" t="s">
        <v>130</v>
      </c>
      <c r="D847" s="65" t="s">
        <v>134</v>
      </c>
      <c r="E847" s="65" t="s">
        <v>133</v>
      </c>
    </row>
    <row r="848" spans="1:5" x14ac:dyDescent="0.45">
      <c r="A848">
        <v>20200228</v>
      </c>
      <c r="B848" s="65" t="s">
        <v>145</v>
      </c>
      <c r="C848" s="65" t="s">
        <v>130</v>
      </c>
      <c r="D848" s="65" t="s">
        <v>131</v>
      </c>
      <c r="E848" s="65" t="s">
        <v>132</v>
      </c>
    </row>
    <row r="849" spans="1:5" x14ac:dyDescent="0.45">
      <c r="A849">
        <v>20200229</v>
      </c>
      <c r="B849" s="65" t="s">
        <v>133</v>
      </c>
      <c r="C849" s="65" t="s">
        <v>130</v>
      </c>
      <c r="D849" s="65" t="s">
        <v>134</v>
      </c>
      <c r="E849" s="65" t="s">
        <v>133</v>
      </c>
    </row>
    <row r="850" spans="1:5" x14ac:dyDescent="0.45">
      <c r="A850">
        <v>20200301</v>
      </c>
      <c r="B850" s="65" t="s">
        <v>133</v>
      </c>
      <c r="C850" s="65" t="s">
        <v>130</v>
      </c>
      <c r="D850" s="65" t="s">
        <v>134</v>
      </c>
      <c r="E850" s="65" t="s">
        <v>133</v>
      </c>
    </row>
    <row r="851" spans="1:5" x14ac:dyDescent="0.45">
      <c r="A851">
        <v>20200307</v>
      </c>
      <c r="B851" s="65" t="s">
        <v>133</v>
      </c>
      <c r="C851" s="65" t="s">
        <v>130</v>
      </c>
      <c r="D851" s="65" t="s">
        <v>134</v>
      </c>
      <c r="E851" s="65" t="s">
        <v>133</v>
      </c>
    </row>
    <row r="852" spans="1:5" x14ac:dyDescent="0.45">
      <c r="A852">
        <v>20200308</v>
      </c>
      <c r="B852" s="65" t="s">
        <v>133</v>
      </c>
      <c r="C852" s="65" t="s">
        <v>130</v>
      </c>
      <c r="D852" s="65" t="s">
        <v>134</v>
      </c>
      <c r="E852" s="65" t="s">
        <v>133</v>
      </c>
    </row>
    <row r="853" spans="1:5" x14ac:dyDescent="0.45">
      <c r="A853">
        <v>20200314</v>
      </c>
      <c r="B853" s="65" t="s">
        <v>133</v>
      </c>
      <c r="C853" s="65" t="s">
        <v>130</v>
      </c>
      <c r="D853" s="65" t="s">
        <v>134</v>
      </c>
      <c r="E853" s="65" t="s">
        <v>133</v>
      </c>
    </row>
    <row r="854" spans="1:5" x14ac:dyDescent="0.45">
      <c r="A854">
        <v>20200315</v>
      </c>
      <c r="B854" s="65" t="s">
        <v>133</v>
      </c>
      <c r="C854" s="65" t="s">
        <v>130</v>
      </c>
      <c r="D854" s="65" t="s">
        <v>134</v>
      </c>
      <c r="E854" s="65" t="s">
        <v>133</v>
      </c>
    </row>
    <row r="855" spans="1:5" x14ac:dyDescent="0.45">
      <c r="A855">
        <v>20200321</v>
      </c>
      <c r="B855" s="65" t="s">
        <v>133</v>
      </c>
      <c r="C855" s="65" t="s">
        <v>130</v>
      </c>
      <c r="D855" s="65" t="s">
        <v>134</v>
      </c>
      <c r="E855" s="65" t="s">
        <v>133</v>
      </c>
    </row>
    <row r="856" spans="1:5" x14ac:dyDescent="0.45">
      <c r="A856">
        <v>20200322</v>
      </c>
      <c r="B856" s="65" t="s">
        <v>133</v>
      </c>
      <c r="C856" s="65" t="s">
        <v>130</v>
      </c>
      <c r="D856" s="65" t="s">
        <v>134</v>
      </c>
      <c r="E856" s="65" t="s">
        <v>133</v>
      </c>
    </row>
    <row r="857" spans="1:5" x14ac:dyDescent="0.45">
      <c r="A857">
        <v>20200328</v>
      </c>
      <c r="B857" s="65" t="s">
        <v>133</v>
      </c>
      <c r="C857" s="65" t="s">
        <v>130</v>
      </c>
      <c r="D857" s="65" t="s">
        <v>134</v>
      </c>
      <c r="E857" s="65" t="s">
        <v>133</v>
      </c>
    </row>
    <row r="858" spans="1:5" x14ac:dyDescent="0.45">
      <c r="A858">
        <v>20200329</v>
      </c>
      <c r="B858" s="65" t="s">
        <v>133</v>
      </c>
      <c r="C858" s="65" t="s">
        <v>130</v>
      </c>
      <c r="D858" s="65" t="s">
        <v>134</v>
      </c>
      <c r="E858" s="65" t="s">
        <v>133</v>
      </c>
    </row>
    <row r="859" spans="1:5" x14ac:dyDescent="0.45">
      <c r="A859">
        <v>20200402</v>
      </c>
      <c r="B859" s="65" t="s">
        <v>133</v>
      </c>
      <c r="C859" s="65" t="s">
        <v>130</v>
      </c>
      <c r="D859" s="65" t="s">
        <v>139</v>
      </c>
      <c r="E859" s="65" t="s">
        <v>133</v>
      </c>
    </row>
    <row r="860" spans="1:5" x14ac:dyDescent="0.45">
      <c r="A860">
        <v>20200403</v>
      </c>
      <c r="B860" s="65" t="s">
        <v>133</v>
      </c>
      <c r="C860" s="65" t="s">
        <v>130</v>
      </c>
      <c r="D860" s="65" t="s">
        <v>131</v>
      </c>
      <c r="E860" s="65" t="s">
        <v>133</v>
      </c>
    </row>
    <row r="861" spans="1:5" x14ac:dyDescent="0.45">
      <c r="A861">
        <v>20200404</v>
      </c>
      <c r="B861" s="65" t="s">
        <v>150</v>
      </c>
      <c r="C861" s="65" t="s">
        <v>130</v>
      </c>
      <c r="D861" s="65" t="s">
        <v>131</v>
      </c>
      <c r="E861" s="65" t="s">
        <v>194</v>
      </c>
    </row>
    <row r="862" spans="1:5" x14ac:dyDescent="0.45">
      <c r="A862">
        <v>20200405</v>
      </c>
      <c r="B862" s="65" t="s">
        <v>133</v>
      </c>
      <c r="C862" s="65" t="s">
        <v>130</v>
      </c>
      <c r="D862" s="65" t="s">
        <v>134</v>
      </c>
      <c r="E862" s="65" t="s">
        <v>133</v>
      </c>
    </row>
    <row r="863" spans="1:5" x14ac:dyDescent="0.45">
      <c r="A863">
        <v>20200411</v>
      </c>
      <c r="B863" s="65" t="s">
        <v>133</v>
      </c>
      <c r="C863" s="65" t="s">
        <v>130</v>
      </c>
      <c r="D863" s="65" t="s">
        <v>134</v>
      </c>
      <c r="E863" s="65" t="s">
        <v>133</v>
      </c>
    </row>
    <row r="864" spans="1:5" x14ac:dyDescent="0.45">
      <c r="A864">
        <v>20200412</v>
      </c>
      <c r="B864" s="65" t="s">
        <v>133</v>
      </c>
      <c r="C864" s="65" t="s">
        <v>130</v>
      </c>
      <c r="D864" s="65" t="s">
        <v>134</v>
      </c>
      <c r="E864" s="65" t="s">
        <v>133</v>
      </c>
    </row>
    <row r="865" spans="1:5" x14ac:dyDescent="0.45">
      <c r="A865">
        <v>20200418</v>
      </c>
      <c r="B865" s="65" t="s">
        <v>133</v>
      </c>
      <c r="C865" s="65" t="s">
        <v>130</v>
      </c>
      <c r="D865" s="65" t="s">
        <v>134</v>
      </c>
      <c r="E865" s="65" t="s">
        <v>133</v>
      </c>
    </row>
    <row r="866" spans="1:5" x14ac:dyDescent="0.45">
      <c r="A866">
        <v>20200419</v>
      </c>
      <c r="B866" s="65" t="s">
        <v>133</v>
      </c>
      <c r="C866" s="65" t="s">
        <v>130</v>
      </c>
      <c r="D866" s="65" t="s">
        <v>134</v>
      </c>
      <c r="E866" s="65" t="s">
        <v>133</v>
      </c>
    </row>
    <row r="867" spans="1:5" x14ac:dyDescent="0.45">
      <c r="A867">
        <v>20200425</v>
      </c>
      <c r="B867" s="65" t="s">
        <v>133</v>
      </c>
      <c r="C867" s="65" t="s">
        <v>130</v>
      </c>
      <c r="D867" s="65" t="s">
        <v>134</v>
      </c>
      <c r="E867" s="65" t="s">
        <v>133</v>
      </c>
    </row>
    <row r="868" spans="1:5" x14ac:dyDescent="0.45">
      <c r="A868">
        <v>20200426</v>
      </c>
      <c r="B868" s="65" t="s">
        <v>133</v>
      </c>
      <c r="C868" s="65" t="s">
        <v>130</v>
      </c>
      <c r="D868" s="65" t="s">
        <v>134</v>
      </c>
      <c r="E868" s="65" t="s">
        <v>133</v>
      </c>
    </row>
    <row r="869" spans="1:5" x14ac:dyDescent="0.45">
      <c r="A869">
        <v>20200502</v>
      </c>
      <c r="B869" s="65" t="s">
        <v>133</v>
      </c>
      <c r="C869" s="65" t="s">
        <v>130</v>
      </c>
      <c r="D869" s="65" t="s">
        <v>134</v>
      </c>
      <c r="E869" s="65" t="s">
        <v>133</v>
      </c>
    </row>
    <row r="870" spans="1:5" x14ac:dyDescent="0.45">
      <c r="A870">
        <v>20200503</v>
      </c>
      <c r="B870" s="65" t="s">
        <v>133</v>
      </c>
      <c r="C870" s="65" t="s">
        <v>130</v>
      </c>
      <c r="D870" s="65" t="s">
        <v>134</v>
      </c>
      <c r="E870" s="65" t="s">
        <v>133</v>
      </c>
    </row>
    <row r="871" spans="1:5" x14ac:dyDescent="0.45">
      <c r="A871">
        <v>20200509</v>
      </c>
      <c r="B871" s="65" t="s">
        <v>133</v>
      </c>
      <c r="C871" s="65" t="s">
        <v>130</v>
      </c>
      <c r="D871" s="65" t="s">
        <v>134</v>
      </c>
      <c r="E871" s="65" t="s">
        <v>133</v>
      </c>
    </row>
    <row r="872" spans="1:5" x14ac:dyDescent="0.45">
      <c r="A872">
        <v>20200510</v>
      </c>
      <c r="B872" s="65" t="s">
        <v>133</v>
      </c>
      <c r="C872" s="65" t="s">
        <v>130</v>
      </c>
      <c r="D872" s="65" t="s">
        <v>134</v>
      </c>
      <c r="E872" s="65" t="s">
        <v>133</v>
      </c>
    </row>
    <row r="873" spans="1:5" x14ac:dyDescent="0.45">
      <c r="A873">
        <v>20200516</v>
      </c>
      <c r="B873" s="65" t="s">
        <v>133</v>
      </c>
      <c r="C873" s="65" t="s">
        <v>130</v>
      </c>
      <c r="D873" s="65" t="s">
        <v>134</v>
      </c>
      <c r="E873" s="65" t="s">
        <v>133</v>
      </c>
    </row>
    <row r="874" spans="1:5" x14ac:dyDescent="0.45">
      <c r="A874">
        <v>20200517</v>
      </c>
      <c r="B874" s="65" t="s">
        <v>133</v>
      </c>
      <c r="C874" s="65" t="s">
        <v>130</v>
      </c>
      <c r="D874" s="65" t="s">
        <v>134</v>
      </c>
      <c r="E874" s="65" t="s">
        <v>133</v>
      </c>
    </row>
    <row r="875" spans="1:5" x14ac:dyDescent="0.45">
      <c r="A875">
        <v>20200523</v>
      </c>
      <c r="B875" s="65" t="s">
        <v>133</v>
      </c>
      <c r="C875" s="65" t="s">
        <v>130</v>
      </c>
      <c r="D875" s="65" t="s">
        <v>134</v>
      </c>
      <c r="E875" s="65" t="s">
        <v>133</v>
      </c>
    </row>
    <row r="876" spans="1:5" x14ac:dyDescent="0.45">
      <c r="A876">
        <v>20200524</v>
      </c>
      <c r="B876" s="65" t="s">
        <v>133</v>
      </c>
      <c r="C876" s="65" t="s">
        <v>130</v>
      </c>
      <c r="D876" s="65" t="s">
        <v>134</v>
      </c>
      <c r="E876" s="65" t="s">
        <v>133</v>
      </c>
    </row>
    <row r="877" spans="1:5" x14ac:dyDescent="0.45">
      <c r="A877">
        <v>20200530</v>
      </c>
      <c r="B877" s="65" t="s">
        <v>133</v>
      </c>
      <c r="C877" s="65" t="s">
        <v>130</v>
      </c>
      <c r="D877" s="65" t="s">
        <v>134</v>
      </c>
      <c r="E877" s="65" t="s">
        <v>133</v>
      </c>
    </row>
    <row r="878" spans="1:5" x14ac:dyDescent="0.45">
      <c r="A878">
        <v>20200531</v>
      </c>
      <c r="B878" s="65" t="s">
        <v>133</v>
      </c>
      <c r="C878" s="65" t="s">
        <v>130</v>
      </c>
      <c r="D878" s="65" t="s">
        <v>134</v>
      </c>
      <c r="E878" s="65" t="s">
        <v>133</v>
      </c>
    </row>
    <row r="879" spans="1:5" x14ac:dyDescent="0.45">
      <c r="A879">
        <v>20200606</v>
      </c>
      <c r="B879" s="65" t="s">
        <v>133</v>
      </c>
      <c r="C879" s="65" t="s">
        <v>130</v>
      </c>
      <c r="D879" s="65" t="s">
        <v>134</v>
      </c>
      <c r="E879" s="65" t="s">
        <v>133</v>
      </c>
    </row>
    <row r="880" spans="1:5" x14ac:dyDescent="0.45">
      <c r="A880">
        <v>20200607</v>
      </c>
      <c r="B880" s="65" t="s">
        <v>133</v>
      </c>
      <c r="C880" s="65" t="s">
        <v>130</v>
      </c>
      <c r="D880" s="65" t="s">
        <v>134</v>
      </c>
      <c r="E880" s="65" t="s">
        <v>133</v>
      </c>
    </row>
    <row r="881" spans="1:5" x14ac:dyDescent="0.45">
      <c r="A881">
        <v>20200613</v>
      </c>
      <c r="B881" s="65" t="s">
        <v>133</v>
      </c>
      <c r="C881" s="65" t="s">
        <v>130</v>
      </c>
      <c r="D881" s="65" t="s">
        <v>134</v>
      </c>
      <c r="E881" s="65" t="s">
        <v>133</v>
      </c>
    </row>
    <row r="882" spans="1:5" x14ac:dyDescent="0.45">
      <c r="A882">
        <v>20200614</v>
      </c>
      <c r="B882" s="65" t="s">
        <v>133</v>
      </c>
      <c r="C882" s="65" t="s">
        <v>130</v>
      </c>
      <c r="D882" s="65" t="s">
        <v>134</v>
      </c>
      <c r="E882" s="65" t="s">
        <v>133</v>
      </c>
    </row>
    <row r="883" spans="1:5" x14ac:dyDescent="0.45">
      <c r="A883">
        <v>20200620</v>
      </c>
      <c r="B883" s="65" t="s">
        <v>133</v>
      </c>
      <c r="C883" s="65" t="s">
        <v>142</v>
      </c>
      <c r="D883" s="65" t="s">
        <v>143</v>
      </c>
      <c r="E883" s="65" t="s">
        <v>133</v>
      </c>
    </row>
    <row r="884" spans="1:5" x14ac:dyDescent="0.45">
      <c r="A884">
        <v>20200621</v>
      </c>
      <c r="B884" s="65" t="s">
        <v>133</v>
      </c>
      <c r="C884" s="65" t="s">
        <v>130</v>
      </c>
      <c r="D884" s="65" t="s">
        <v>134</v>
      </c>
      <c r="E884" s="65" t="s">
        <v>133</v>
      </c>
    </row>
    <row r="885" spans="1:5" x14ac:dyDescent="0.45">
      <c r="A885">
        <v>20200625</v>
      </c>
      <c r="B885" s="65" t="s">
        <v>153</v>
      </c>
      <c r="C885" s="65" t="s">
        <v>130</v>
      </c>
      <c r="D885" s="65" t="s">
        <v>131</v>
      </c>
      <c r="E885" s="65" t="s">
        <v>195</v>
      </c>
    </row>
    <row r="886" spans="1:5" x14ac:dyDescent="0.45">
      <c r="A886">
        <v>20200626</v>
      </c>
      <c r="B886" s="65" t="s">
        <v>133</v>
      </c>
      <c r="C886" s="65" t="s">
        <v>130</v>
      </c>
      <c r="D886" s="65" t="s">
        <v>140</v>
      </c>
      <c r="E886" s="65" t="s">
        <v>133</v>
      </c>
    </row>
    <row r="887" spans="1:5" x14ac:dyDescent="0.45">
      <c r="A887">
        <v>20200627</v>
      </c>
      <c r="B887" s="65" t="s">
        <v>133</v>
      </c>
      <c r="C887" s="65" t="s">
        <v>130</v>
      </c>
      <c r="D887" s="65" t="s">
        <v>134</v>
      </c>
      <c r="E887" s="65" t="s">
        <v>133</v>
      </c>
    </row>
    <row r="888" spans="1:5" x14ac:dyDescent="0.45">
      <c r="A888">
        <v>20200628</v>
      </c>
      <c r="B888" s="65" t="s">
        <v>133</v>
      </c>
      <c r="C888" s="65" t="s">
        <v>130</v>
      </c>
      <c r="D888" s="65" t="s">
        <v>134</v>
      </c>
      <c r="E888" s="65" t="s">
        <v>133</v>
      </c>
    </row>
    <row r="889" spans="1:5" x14ac:dyDescent="0.45">
      <c r="A889">
        <v>20200704</v>
      </c>
      <c r="B889" s="65" t="s">
        <v>133</v>
      </c>
      <c r="C889" s="65" t="s">
        <v>130</v>
      </c>
      <c r="D889" s="65" t="s">
        <v>134</v>
      </c>
      <c r="E889" s="65" t="s">
        <v>133</v>
      </c>
    </row>
    <row r="890" spans="1:5" x14ac:dyDescent="0.45">
      <c r="A890">
        <v>20200705</v>
      </c>
      <c r="B890" s="65" t="s">
        <v>133</v>
      </c>
      <c r="C890" s="65" t="s">
        <v>130</v>
      </c>
      <c r="D890" s="65" t="s">
        <v>134</v>
      </c>
      <c r="E890" s="65" t="s">
        <v>133</v>
      </c>
    </row>
    <row r="891" spans="1:5" x14ac:dyDescent="0.45">
      <c r="A891">
        <v>20200711</v>
      </c>
      <c r="B891" s="65" t="s">
        <v>133</v>
      </c>
      <c r="C891" s="65" t="s">
        <v>130</v>
      </c>
      <c r="D891" s="65" t="s">
        <v>134</v>
      </c>
      <c r="E891" s="65" t="s">
        <v>133</v>
      </c>
    </row>
    <row r="892" spans="1:5" x14ac:dyDescent="0.45">
      <c r="A892">
        <v>20200712</v>
      </c>
      <c r="B892" s="65" t="s">
        <v>133</v>
      </c>
      <c r="C892" s="65" t="s">
        <v>130</v>
      </c>
      <c r="D892" s="65" t="s">
        <v>134</v>
      </c>
      <c r="E892" s="65" t="s">
        <v>133</v>
      </c>
    </row>
    <row r="893" spans="1:5" x14ac:dyDescent="0.45">
      <c r="A893">
        <v>20200718</v>
      </c>
      <c r="B893" s="65" t="s">
        <v>133</v>
      </c>
      <c r="C893" s="65" t="s">
        <v>130</v>
      </c>
      <c r="D893" s="65" t="s">
        <v>134</v>
      </c>
      <c r="E893" s="65" t="s">
        <v>133</v>
      </c>
    </row>
    <row r="894" spans="1:5" x14ac:dyDescent="0.45">
      <c r="A894">
        <v>20200719</v>
      </c>
      <c r="B894" s="65" t="s">
        <v>133</v>
      </c>
      <c r="C894" s="65" t="s">
        <v>130</v>
      </c>
      <c r="D894" s="65" t="s">
        <v>134</v>
      </c>
      <c r="E894" s="65" t="s">
        <v>133</v>
      </c>
    </row>
    <row r="895" spans="1:5" x14ac:dyDescent="0.45">
      <c r="A895">
        <v>20200725</v>
      </c>
      <c r="B895" s="65" t="s">
        <v>133</v>
      </c>
      <c r="C895" s="65" t="s">
        <v>130</v>
      </c>
      <c r="D895" s="65" t="s">
        <v>134</v>
      </c>
      <c r="E895" s="65" t="s">
        <v>133</v>
      </c>
    </row>
    <row r="896" spans="1:5" x14ac:dyDescent="0.45">
      <c r="A896">
        <v>20200726</v>
      </c>
      <c r="B896" s="65" t="s">
        <v>133</v>
      </c>
      <c r="C896" s="65" t="s">
        <v>130</v>
      </c>
      <c r="D896" s="65" t="s">
        <v>134</v>
      </c>
      <c r="E896" s="65" t="s">
        <v>133</v>
      </c>
    </row>
    <row r="897" spans="1:5" x14ac:dyDescent="0.45">
      <c r="A897">
        <v>20200801</v>
      </c>
      <c r="B897" s="65" t="s">
        <v>133</v>
      </c>
      <c r="C897" s="65" t="s">
        <v>130</v>
      </c>
      <c r="D897" s="65" t="s">
        <v>134</v>
      </c>
      <c r="E897" s="65" t="s">
        <v>133</v>
      </c>
    </row>
    <row r="898" spans="1:5" x14ac:dyDescent="0.45">
      <c r="A898">
        <v>20200802</v>
      </c>
      <c r="B898" s="65" t="s">
        <v>133</v>
      </c>
      <c r="C898" s="65" t="s">
        <v>130</v>
      </c>
      <c r="D898" s="65" t="s">
        <v>134</v>
      </c>
      <c r="E898" s="65" t="s">
        <v>133</v>
      </c>
    </row>
    <row r="899" spans="1:5" x14ac:dyDescent="0.45">
      <c r="A899">
        <v>20200808</v>
      </c>
      <c r="B899" s="65" t="s">
        <v>133</v>
      </c>
      <c r="C899" s="65" t="s">
        <v>130</v>
      </c>
      <c r="D899" s="65" t="s">
        <v>134</v>
      </c>
      <c r="E899" s="65" t="s">
        <v>133</v>
      </c>
    </row>
    <row r="900" spans="1:5" x14ac:dyDescent="0.45">
      <c r="A900">
        <v>20200809</v>
      </c>
      <c r="B900" s="65" t="s">
        <v>133</v>
      </c>
      <c r="C900" s="65" t="s">
        <v>130</v>
      </c>
      <c r="D900" s="65" t="s">
        <v>134</v>
      </c>
      <c r="E900" s="65" t="s">
        <v>133</v>
      </c>
    </row>
    <row r="901" spans="1:5" x14ac:dyDescent="0.45">
      <c r="A901">
        <v>20200815</v>
      </c>
      <c r="B901" s="65" t="s">
        <v>133</v>
      </c>
      <c r="C901" s="65" t="s">
        <v>130</v>
      </c>
      <c r="D901" s="65" t="s">
        <v>134</v>
      </c>
      <c r="E901" s="65" t="s">
        <v>133</v>
      </c>
    </row>
    <row r="902" spans="1:5" x14ac:dyDescent="0.45">
      <c r="A902">
        <v>20200816</v>
      </c>
      <c r="B902" s="65" t="s">
        <v>133</v>
      </c>
      <c r="C902" s="65" t="s">
        <v>130</v>
      </c>
      <c r="D902" s="65" t="s">
        <v>134</v>
      </c>
      <c r="E902" s="65" t="s">
        <v>133</v>
      </c>
    </row>
    <row r="903" spans="1:5" x14ac:dyDescent="0.45">
      <c r="A903">
        <v>20200822</v>
      </c>
      <c r="B903" s="65" t="s">
        <v>133</v>
      </c>
      <c r="C903" s="65" t="s">
        <v>130</v>
      </c>
      <c r="D903" s="65" t="s">
        <v>134</v>
      </c>
      <c r="E903" s="65" t="s">
        <v>133</v>
      </c>
    </row>
    <row r="904" spans="1:5" x14ac:dyDescent="0.45">
      <c r="A904">
        <v>20200823</v>
      </c>
      <c r="B904" s="65" t="s">
        <v>133</v>
      </c>
      <c r="C904" s="65" t="s">
        <v>130</v>
      </c>
      <c r="D904" s="65" t="s">
        <v>134</v>
      </c>
      <c r="E904" s="65" t="s">
        <v>133</v>
      </c>
    </row>
    <row r="905" spans="1:5" x14ac:dyDescent="0.45">
      <c r="A905">
        <v>20200829</v>
      </c>
      <c r="B905" s="65" t="s">
        <v>133</v>
      </c>
      <c r="C905" s="65" t="s">
        <v>130</v>
      </c>
      <c r="D905" s="65" t="s">
        <v>134</v>
      </c>
      <c r="E905" s="65" t="s">
        <v>133</v>
      </c>
    </row>
    <row r="906" spans="1:5" x14ac:dyDescent="0.45">
      <c r="A906">
        <v>20200830</v>
      </c>
      <c r="B906" s="65" t="s">
        <v>133</v>
      </c>
      <c r="C906" s="65" t="s">
        <v>130</v>
      </c>
      <c r="D906" s="65" t="s">
        <v>134</v>
      </c>
      <c r="E906" s="65" t="s">
        <v>133</v>
      </c>
    </row>
    <row r="907" spans="1:5" x14ac:dyDescent="0.45">
      <c r="A907">
        <v>20200905</v>
      </c>
      <c r="B907" s="65" t="s">
        <v>133</v>
      </c>
      <c r="C907" s="65" t="s">
        <v>130</v>
      </c>
      <c r="D907" s="65" t="s">
        <v>134</v>
      </c>
      <c r="E907" s="65" t="s">
        <v>133</v>
      </c>
    </row>
    <row r="908" spans="1:5" x14ac:dyDescent="0.45">
      <c r="A908">
        <v>20200906</v>
      </c>
      <c r="B908" s="65" t="s">
        <v>133</v>
      </c>
      <c r="C908" s="65" t="s">
        <v>130</v>
      </c>
      <c r="D908" s="65" t="s">
        <v>134</v>
      </c>
      <c r="E908" s="65" t="s">
        <v>133</v>
      </c>
    </row>
    <row r="909" spans="1:5" x14ac:dyDescent="0.45">
      <c r="A909">
        <v>20200912</v>
      </c>
      <c r="B909" s="65" t="s">
        <v>133</v>
      </c>
      <c r="C909" s="65" t="s">
        <v>130</v>
      </c>
      <c r="D909" s="65" t="s">
        <v>134</v>
      </c>
      <c r="E909" s="65" t="s">
        <v>133</v>
      </c>
    </row>
    <row r="910" spans="1:5" x14ac:dyDescent="0.45">
      <c r="A910">
        <v>20200913</v>
      </c>
      <c r="B910" s="65" t="s">
        <v>133</v>
      </c>
      <c r="C910" s="65" t="s">
        <v>130</v>
      </c>
      <c r="D910" s="65" t="s">
        <v>134</v>
      </c>
      <c r="E910" s="65" t="s">
        <v>133</v>
      </c>
    </row>
    <row r="911" spans="1:5" x14ac:dyDescent="0.45">
      <c r="A911">
        <v>20200919</v>
      </c>
      <c r="B911" s="65" t="s">
        <v>133</v>
      </c>
      <c r="C911" s="65" t="s">
        <v>130</v>
      </c>
      <c r="D911" s="65" t="s">
        <v>134</v>
      </c>
      <c r="E911" s="65" t="s">
        <v>133</v>
      </c>
    </row>
    <row r="912" spans="1:5" x14ac:dyDescent="0.45">
      <c r="A912">
        <v>20200920</v>
      </c>
      <c r="B912" s="65" t="s">
        <v>133</v>
      </c>
      <c r="C912" s="65" t="s">
        <v>130</v>
      </c>
      <c r="D912" s="65" t="s">
        <v>134</v>
      </c>
      <c r="E912" s="65" t="s">
        <v>133</v>
      </c>
    </row>
    <row r="913" spans="1:5" x14ac:dyDescent="0.45">
      <c r="A913">
        <v>20200926</v>
      </c>
      <c r="B913" s="65" t="s">
        <v>133</v>
      </c>
      <c r="C913" s="65" t="s">
        <v>142</v>
      </c>
      <c r="D913" s="65" t="s">
        <v>143</v>
      </c>
      <c r="E913" s="65" t="s">
        <v>133</v>
      </c>
    </row>
    <row r="914" spans="1:5" x14ac:dyDescent="0.45">
      <c r="A914">
        <v>20200927</v>
      </c>
      <c r="B914" s="65" t="s">
        <v>133</v>
      </c>
      <c r="C914" s="65" t="s">
        <v>130</v>
      </c>
      <c r="D914" s="65" t="s">
        <v>134</v>
      </c>
      <c r="E914" s="65" t="s">
        <v>133</v>
      </c>
    </row>
    <row r="915" spans="1:5" x14ac:dyDescent="0.45">
      <c r="A915">
        <v>20201001</v>
      </c>
      <c r="B915" s="65" t="s">
        <v>154</v>
      </c>
      <c r="C915" s="65" t="s">
        <v>130</v>
      </c>
      <c r="D915" s="65" t="s">
        <v>131</v>
      </c>
      <c r="E915" s="65" t="s">
        <v>196</v>
      </c>
    </row>
    <row r="916" spans="1:5" x14ac:dyDescent="0.45">
      <c r="A916">
        <v>20201002</v>
      </c>
      <c r="B916" s="65" t="s">
        <v>133</v>
      </c>
      <c r="C916" s="65" t="s">
        <v>130</v>
      </c>
      <c r="D916" s="65" t="s">
        <v>140</v>
      </c>
      <c r="E916" s="65" t="s">
        <v>133</v>
      </c>
    </row>
    <row r="917" spans="1:5" x14ac:dyDescent="0.45">
      <c r="A917">
        <v>20201003</v>
      </c>
      <c r="B917" s="65" t="s">
        <v>133</v>
      </c>
      <c r="C917" s="65" t="s">
        <v>130</v>
      </c>
      <c r="D917" s="65" t="s">
        <v>134</v>
      </c>
      <c r="E917" s="65" t="s">
        <v>133</v>
      </c>
    </row>
    <row r="918" spans="1:5" x14ac:dyDescent="0.45">
      <c r="A918">
        <v>20201004</v>
      </c>
      <c r="B918" s="65" t="s">
        <v>133</v>
      </c>
      <c r="C918" s="65" t="s">
        <v>130</v>
      </c>
      <c r="D918" s="65" t="s">
        <v>134</v>
      </c>
      <c r="E918" s="65" t="s">
        <v>133</v>
      </c>
    </row>
    <row r="919" spans="1:5" x14ac:dyDescent="0.45">
      <c r="A919">
        <v>20201009</v>
      </c>
      <c r="B919" s="65" t="s">
        <v>133</v>
      </c>
      <c r="C919" s="65" t="s">
        <v>130</v>
      </c>
      <c r="D919" s="65" t="s">
        <v>139</v>
      </c>
      <c r="E919" s="65" t="s">
        <v>133</v>
      </c>
    </row>
    <row r="920" spans="1:5" x14ac:dyDescent="0.45">
      <c r="A920">
        <v>20201010</v>
      </c>
      <c r="B920" s="65" t="s">
        <v>158</v>
      </c>
      <c r="C920" s="65" t="s">
        <v>130</v>
      </c>
      <c r="D920" s="65" t="s">
        <v>131</v>
      </c>
      <c r="E920" s="65" t="s">
        <v>173</v>
      </c>
    </row>
    <row r="921" spans="1:5" x14ac:dyDescent="0.45">
      <c r="A921">
        <v>20201011</v>
      </c>
      <c r="B921" s="65" t="s">
        <v>133</v>
      </c>
      <c r="C921" s="65" t="s">
        <v>130</v>
      </c>
      <c r="D921" s="65" t="s">
        <v>134</v>
      </c>
      <c r="E921" s="65" t="s">
        <v>133</v>
      </c>
    </row>
    <row r="922" spans="1:5" x14ac:dyDescent="0.45">
      <c r="A922">
        <v>20201017</v>
      </c>
      <c r="B922" s="65" t="s">
        <v>133</v>
      </c>
      <c r="C922" s="65" t="s">
        <v>130</v>
      </c>
      <c r="D922" s="65" t="s">
        <v>134</v>
      </c>
      <c r="E922" s="65" t="s">
        <v>133</v>
      </c>
    </row>
    <row r="923" spans="1:5" x14ac:dyDescent="0.45">
      <c r="A923">
        <v>20201018</v>
      </c>
      <c r="B923" s="65" t="s">
        <v>133</v>
      </c>
      <c r="C923" s="65" t="s">
        <v>130</v>
      </c>
      <c r="D923" s="65" t="s">
        <v>134</v>
      </c>
      <c r="E923" s="65" t="s">
        <v>133</v>
      </c>
    </row>
    <row r="924" spans="1:5" x14ac:dyDescent="0.45">
      <c r="A924">
        <v>20201024</v>
      </c>
      <c r="B924" s="65" t="s">
        <v>133</v>
      </c>
      <c r="C924" s="65" t="s">
        <v>130</v>
      </c>
      <c r="D924" s="65" t="s">
        <v>134</v>
      </c>
      <c r="E924" s="65" t="s">
        <v>133</v>
      </c>
    </row>
    <row r="925" spans="1:5" x14ac:dyDescent="0.45">
      <c r="A925">
        <v>20201025</v>
      </c>
      <c r="B925" s="65" t="s">
        <v>133</v>
      </c>
      <c r="C925" s="65" t="s">
        <v>130</v>
      </c>
      <c r="D925" s="65" t="s">
        <v>134</v>
      </c>
      <c r="E925" s="65" t="s">
        <v>133</v>
      </c>
    </row>
    <row r="926" spans="1:5" x14ac:dyDescent="0.45">
      <c r="A926">
        <v>20201031</v>
      </c>
      <c r="B926" s="65" t="s">
        <v>133</v>
      </c>
      <c r="C926" s="65" t="s">
        <v>130</v>
      </c>
      <c r="D926" s="65" t="s">
        <v>134</v>
      </c>
      <c r="E926" s="65" t="s">
        <v>133</v>
      </c>
    </row>
    <row r="927" spans="1:5" x14ac:dyDescent="0.45">
      <c r="A927">
        <v>20201101</v>
      </c>
      <c r="B927" s="65" t="s">
        <v>133</v>
      </c>
      <c r="C927" s="65" t="s">
        <v>130</v>
      </c>
      <c r="D927" s="65" t="s">
        <v>134</v>
      </c>
      <c r="E927" s="65" t="s">
        <v>133</v>
      </c>
    </row>
    <row r="928" spans="1:5" x14ac:dyDescent="0.45">
      <c r="A928">
        <v>20201107</v>
      </c>
      <c r="B928" s="65" t="s">
        <v>133</v>
      </c>
      <c r="C928" s="65" t="s">
        <v>130</v>
      </c>
      <c r="D928" s="65" t="s">
        <v>134</v>
      </c>
      <c r="E928" s="65" t="s">
        <v>133</v>
      </c>
    </row>
    <row r="929" spans="1:5" x14ac:dyDescent="0.45">
      <c r="A929">
        <v>20201108</v>
      </c>
      <c r="B929" s="65" t="s">
        <v>133</v>
      </c>
      <c r="C929" s="65" t="s">
        <v>130</v>
      </c>
      <c r="D929" s="65" t="s">
        <v>134</v>
      </c>
      <c r="E929" s="65" t="s">
        <v>133</v>
      </c>
    </row>
    <row r="930" spans="1:5" x14ac:dyDescent="0.45">
      <c r="A930">
        <v>20201114</v>
      </c>
      <c r="B930" s="65" t="s">
        <v>133</v>
      </c>
      <c r="C930" s="65" t="s">
        <v>130</v>
      </c>
      <c r="D930" s="65" t="s">
        <v>134</v>
      </c>
      <c r="E930" s="65" t="s">
        <v>133</v>
      </c>
    </row>
    <row r="931" spans="1:5" x14ac:dyDescent="0.45">
      <c r="A931">
        <v>20201115</v>
      </c>
      <c r="B931" s="65" t="s">
        <v>133</v>
      </c>
      <c r="C931" s="65" t="s">
        <v>130</v>
      </c>
      <c r="D931" s="65" t="s">
        <v>134</v>
      </c>
      <c r="E931" s="65" t="s">
        <v>133</v>
      </c>
    </row>
    <row r="932" spans="1:5" x14ac:dyDescent="0.45">
      <c r="A932">
        <v>20201121</v>
      </c>
      <c r="B932" s="65" t="s">
        <v>133</v>
      </c>
      <c r="C932" s="65" t="s">
        <v>130</v>
      </c>
      <c r="D932" s="65" t="s">
        <v>134</v>
      </c>
      <c r="E932" s="65" t="s">
        <v>133</v>
      </c>
    </row>
    <row r="933" spans="1:5" x14ac:dyDescent="0.45">
      <c r="A933">
        <v>20201122</v>
      </c>
      <c r="B933" s="65" t="s">
        <v>133</v>
      </c>
      <c r="C933" s="65" t="s">
        <v>130</v>
      </c>
      <c r="D933" s="65" t="s">
        <v>134</v>
      </c>
      <c r="E933" s="65" t="s">
        <v>133</v>
      </c>
    </row>
    <row r="934" spans="1:5" x14ac:dyDescent="0.45">
      <c r="A934">
        <v>20201128</v>
      </c>
      <c r="B934" s="65" t="s">
        <v>133</v>
      </c>
      <c r="C934" s="65" t="s">
        <v>130</v>
      </c>
      <c r="D934" s="65" t="s">
        <v>134</v>
      </c>
      <c r="E934" s="65" t="s">
        <v>133</v>
      </c>
    </row>
    <row r="935" spans="1:5" x14ac:dyDescent="0.45">
      <c r="A935">
        <v>20201129</v>
      </c>
      <c r="B935" s="65" t="s">
        <v>133</v>
      </c>
      <c r="C935" s="65" t="s">
        <v>130</v>
      </c>
      <c r="D935" s="65" t="s">
        <v>134</v>
      </c>
      <c r="E935" s="65" t="s">
        <v>133</v>
      </c>
    </row>
    <row r="936" spans="1:5" x14ac:dyDescent="0.45">
      <c r="A936">
        <v>20201205</v>
      </c>
      <c r="B936" s="65" t="s">
        <v>133</v>
      </c>
      <c r="C936" s="65" t="s">
        <v>130</v>
      </c>
      <c r="D936" s="65" t="s">
        <v>134</v>
      </c>
      <c r="E936" s="65" t="s">
        <v>133</v>
      </c>
    </row>
    <row r="937" spans="1:5" x14ac:dyDescent="0.45">
      <c r="A937">
        <v>20201206</v>
      </c>
      <c r="B937" s="65" t="s">
        <v>133</v>
      </c>
      <c r="C937" s="65" t="s">
        <v>130</v>
      </c>
      <c r="D937" s="65" t="s">
        <v>134</v>
      </c>
      <c r="E937" s="65" t="s">
        <v>133</v>
      </c>
    </row>
    <row r="938" spans="1:5" x14ac:dyDescent="0.45">
      <c r="A938">
        <v>20201212</v>
      </c>
      <c r="B938" s="65" t="s">
        <v>133</v>
      </c>
      <c r="C938" s="65" t="s">
        <v>130</v>
      </c>
      <c r="D938" s="65" t="s">
        <v>134</v>
      </c>
      <c r="E938" s="65" t="s">
        <v>133</v>
      </c>
    </row>
    <row r="939" spans="1:5" x14ac:dyDescent="0.45">
      <c r="A939">
        <v>20201213</v>
      </c>
      <c r="B939" s="65" t="s">
        <v>133</v>
      </c>
      <c r="C939" s="65" t="s">
        <v>130</v>
      </c>
      <c r="D939" s="65" t="s">
        <v>134</v>
      </c>
      <c r="E939" s="65" t="s">
        <v>133</v>
      </c>
    </row>
    <row r="940" spans="1:5" x14ac:dyDescent="0.45">
      <c r="A940">
        <v>20201219</v>
      </c>
      <c r="B940" s="65" t="s">
        <v>133</v>
      </c>
      <c r="C940" s="65" t="s">
        <v>130</v>
      </c>
      <c r="D940" s="65" t="s">
        <v>134</v>
      </c>
      <c r="E940" s="65" t="s">
        <v>133</v>
      </c>
    </row>
    <row r="941" spans="1:5" x14ac:dyDescent="0.45">
      <c r="A941">
        <v>20201220</v>
      </c>
      <c r="B941" s="65" t="s">
        <v>133</v>
      </c>
      <c r="C941" s="65" t="s">
        <v>130</v>
      </c>
      <c r="D941" s="65" t="s">
        <v>134</v>
      </c>
      <c r="E941" s="65" t="s">
        <v>133</v>
      </c>
    </row>
    <row r="942" spans="1:5" x14ac:dyDescent="0.45">
      <c r="A942">
        <v>20201226</v>
      </c>
      <c r="B942" s="65" t="s">
        <v>133</v>
      </c>
      <c r="C942" s="65" t="s">
        <v>130</v>
      </c>
      <c r="D942" s="65" t="s">
        <v>134</v>
      </c>
      <c r="E942" s="65" t="s">
        <v>133</v>
      </c>
    </row>
    <row r="943" spans="1:5" x14ac:dyDescent="0.45">
      <c r="A943">
        <v>20201227</v>
      </c>
      <c r="B943" s="65" t="s">
        <v>133</v>
      </c>
      <c r="C943" s="65" t="s">
        <v>130</v>
      </c>
      <c r="D943" s="65" t="s">
        <v>134</v>
      </c>
      <c r="E943" s="65" t="s">
        <v>133</v>
      </c>
    </row>
    <row r="944" spans="1:5" x14ac:dyDescent="0.45">
      <c r="A944">
        <v>20210101</v>
      </c>
      <c r="B944" s="65" t="s">
        <v>129</v>
      </c>
      <c r="C944" s="65" t="s">
        <v>130</v>
      </c>
      <c r="D944" s="65" t="s">
        <v>131</v>
      </c>
      <c r="E944" s="65" t="s">
        <v>186</v>
      </c>
    </row>
    <row r="945" spans="1:5" x14ac:dyDescent="0.45">
      <c r="A945">
        <v>20210102</v>
      </c>
      <c r="B945" s="65" t="s">
        <v>133</v>
      </c>
      <c r="C945" s="65" t="s">
        <v>130</v>
      </c>
      <c r="D945" s="65" t="s">
        <v>134</v>
      </c>
      <c r="E945" s="65" t="s">
        <v>133</v>
      </c>
    </row>
    <row r="946" spans="1:5" x14ac:dyDescent="0.45">
      <c r="A946">
        <v>20210103</v>
      </c>
      <c r="B946" s="65" t="s">
        <v>133</v>
      </c>
      <c r="C946" s="65" t="s">
        <v>130</v>
      </c>
      <c r="D946" s="65" t="s">
        <v>134</v>
      </c>
      <c r="E946" s="65" t="s">
        <v>133</v>
      </c>
    </row>
    <row r="947" spans="1:5" x14ac:dyDescent="0.45">
      <c r="A947">
        <v>20210109</v>
      </c>
      <c r="B947" s="65" t="s">
        <v>133</v>
      </c>
      <c r="C947" s="65" t="s">
        <v>130</v>
      </c>
      <c r="D947" s="65" t="s">
        <v>134</v>
      </c>
      <c r="E947" s="65" t="s">
        <v>133</v>
      </c>
    </row>
    <row r="948" spans="1:5" x14ac:dyDescent="0.45">
      <c r="A948">
        <v>20210110</v>
      </c>
      <c r="B948" s="65" t="s">
        <v>133</v>
      </c>
      <c r="C948" s="65" t="s">
        <v>130</v>
      </c>
      <c r="D948" s="65" t="s">
        <v>134</v>
      </c>
      <c r="E948" s="65" t="s">
        <v>133</v>
      </c>
    </row>
    <row r="949" spans="1:5" x14ac:dyDescent="0.45">
      <c r="A949">
        <v>20210116</v>
      </c>
      <c r="B949" s="65" t="s">
        <v>133</v>
      </c>
      <c r="C949" s="65" t="s">
        <v>130</v>
      </c>
      <c r="D949" s="65" t="s">
        <v>134</v>
      </c>
      <c r="E949" s="65" t="s">
        <v>133</v>
      </c>
    </row>
    <row r="950" spans="1:5" x14ac:dyDescent="0.45">
      <c r="A950">
        <v>20210117</v>
      </c>
      <c r="B950" s="65" t="s">
        <v>133</v>
      </c>
      <c r="C950" s="65" t="s">
        <v>130</v>
      </c>
      <c r="D950" s="65" t="s">
        <v>134</v>
      </c>
      <c r="E950" s="65" t="s">
        <v>133</v>
      </c>
    </row>
    <row r="951" spans="1:5" x14ac:dyDescent="0.45">
      <c r="A951">
        <v>20210123</v>
      </c>
      <c r="B951" s="65" t="s">
        <v>133</v>
      </c>
      <c r="C951" s="65" t="s">
        <v>130</v>
      </c>
      <c r="D951" s="65" t="s">
        <v>134</v>
      </c>
      <c r="E951" s="65" t="s">
        <v>133</v>
      </c>
    </row>
    <row r="952" spans="1:5" x14ac:dyDescent="0.45">
      <c r="A952">
        <v>20210124</v>
      </c>
      <c r="B952" s="65" t="s">
        <v>133</v>
      </c>
      <c r="C952" s="65" t="s">
        <v>130</v>
      </c>
      <c r="D952" s="65" t="s">
        <v>134</v>
      </c>
      <c r="E952" s="65" t="s">
        <v>133</v>
      </c>
    </row>
    <row r="953" spans="1:5" x14ac:dyDescent="0.45">
      <c r="A953">
        <v>20210130</v>
      </c>
      <c r="B953" s="65" t="s">
        <v>133</v>
      </c>
      <c r="C953" s="65" t="s">
        <v>130</v>
      </c>
      <c r="D953" s="65" t="s">
        <v>134</v>
      </c>
      <c r="E953" s="65" t="s">
        <v>133</v>
      </c>
    </row>
    <row r="954" spans="1:5" x14ac:dyDescent="0.45">
      <c r="A954">
        <v>20210131</v>
      </c>
      <c r="B954" s="65" t="s">
        <v>133</v>
      </c>
      <c r="C954" s="65" t="s">
        <v>130</v>
      </c>
      <c r="D954" s="65" t="s">
        <v>134</v>
      </c>
      <c r="E954" s="65" t="s">
        <v>133</v>
      </c>
    </row>
    <row r="955" spans="1:5" x14ac:dyDescent="0.45">
      <c r="A955">
        <v>20210206</v>
      </c>
      <c r="B955" s="65" t="s">
        <v>133</v>
      </c>
      <c r="C955" s="65" t="s">
        <v>130</v>
      </c>
      <c r="D955" s="65" t="s">
        <v>134</v>
      </c>
      <c r="E955" s="65" t="s">
        <v>133</v>
      </c>
    </row>
    <row r="956" spans="1:5" x14ac:dyDescent="0.45">
      <c r="A956">
        <v>20210207</v>
      </c>
      <c r="B956" s="65" t="s">
        <v>133</v>
      </c>
      <c r="C956" s="65" t="s">
        <v>130</v>
      </c>
      <c r="D956" s="65" t="s">
        <v>134</v>
      </c>
      <c r="E956" s="65" t="s">
        <v>133</v>
      </c>
    </row>
    <row r="957" spans="1:5" x14ac:dyDescent="0.45">
      <c r="A957">
        <v>20210210</v>
      </c>
      <c r="B957" s="65" t="s">
        <v>133</v>
      </c>
      <c r="C957" s="65" t="s">
        <v>130</v>
      </c>
      <c r="D957" s="65" t="s">
        <v>140</v>
      </c>
      <c r="E957" s="65" t="s">
        <v>133</v>
      </c>
    </row>
    <row r="958" spans="1:5" x14ac:dyDescent="0.45">
      <c r="A958">
        <v>20210211</v>
      </c>
      <c r="B958" s="65" t="s">
        <v>135</v>
      </c>
      <c r="C958" s="65" t="s">
        <v>130</v>
      </c>
      <c r="D958" s="65" t="s">
        <v>131</v>
      </c>
      <c r="E958" s="65" t="s">
        <v>197</v>
      </c>
    </row>
    <row r="959" spans="1:5" x14ac:dyDescent="0.45">
      <c r="A959">
        <v>20210212</v>
      </c>
      <c r="B959" s="65" t="s">
        <v>137</v>
      </c>
      <c r="C959" s="65" t="s">
        <v>130</v>
      </c>
      <c r="D959" s="65" t="s">
        <v>131</v>
      </c>
      <c r="E959" s="65" t="s">
        <v>198</v>
      </c>
    </row>
    <row r="960" spans="1:5" x14ac:dyDescent="0.45">
      <c r="A960">
        <v>20210213</v>
      </c>
      <c r="B960" s="65" t="s">
        <v>137</v>
      </c>
      <c r="C960" s="65" t="s">
        <v>130</v>
      </c>
      <c r="D960" s="65" t="s">
        <v>131</v>
      </c>
      <c r="E960" s="65" t="s">
        <v>133</v>
      </c>
    </row>
    <row r="961" spans="1:5" x14ac:dyDescent="0.45">
      <c r="A961">
        <v>20210214</v>
      </c>
      <c r="B961" s="65" t="s">
        <v>137</v>
      </c>
      <c r="C961" s="65" t="s">
        <v>130</v>
      </c>
      <c r="D961" s="65" t="s">
        <v>131</v>
      </c>
      <c r="E961" s="65" t="s">
        <v>133</v>
      </c>
    </row>
    <row r="962" spans="1:5" x14ac:dyDescent="0.45">
      <c r="A962">
        <v>20210215</v>
      </c>
      <c r="B962" s="65" t="s">
        <v>133</v>
      </c>
      <c r="C962" s="65" t="s">
        <v>130</v>
      </c>
      <c r="D962" s="65" t="s">
        <v>139</v>
      </c>
      <c r="E962" s="65" t="s">
        <v>133</v>
      </c>
    </row>
    <row r="963" spans="1:5" x14ac:dyDescent="0.45">
      <c r="A963">
        <v>20210216</v>
      </c>
      <c r="B963" s="65" t="s">
        <v>133</v>
      </c>
      <c r="C963" s="65" t="s">
        <v>130</v>
      </c>
      <c r="D963" s="65" t="s">
        <v>139</v>
      </c>
      <c r="E963" s="65" t="s">
        <v>133</v>
      </c>
    </row>
    <row r="964" spans="1:5" x14ac:dyDescent="0.45">
      <c r="A964">
        <v>20210220</v>
      </c>
      <c r="B964" s="65" t="s">
        <v>133</v>
      </c>
      <c r="C964" s="65" t="s">
        <v>142</v>
      </c>
      <c r="D964" s="65" t="s">
        <v>143</v>
      </c>
      <c r="E964" s="65" t="s">
        <v>133</v>
      </c>
    </row>
    <row r="965" spans="1:5" x14ac:dyDescent="0.45">
      <c r="A965">
        <v>20210221</v>
      </c>
      <c r="B965" s="65" t="s">
        <v>133</v>
      </c>
      <c r="C965" s="65" t="s">
        <v>130</v>
      </c>
      <c r="D965" s="65" t="s">
        <v>134</v>
      </c>
      <c r="E965" s="65" t="s">
        <v>133</v>
      </c>
    </row>
    <row r="966" spans="1:5" x14ac:dyDescent="0.45">
      <c r="A966">
        <v>20210227</v>
      </c>
      <c r="B966" s="65" t="s">
        <v>133</v>
      </c>
      <c r="C966" s="65" t="s">
        <v>130</v>
      </c>
      <c r="D966" s="65" t="s">
        <v>134</v>
      </c>
      <c r="E966" s="65" t="s">
        <v>133</v>
      </c>
    </row>
    <row r="967" spans="1:5" x14ac:dyDescent="0.45">
      <c r="A967">
        <v>20210228</v>
      </c>
      <c r="B967" s="65" t="s">
        <v>145</v>
      </c>
      <c r="C967" s="65" t="s">
        <v>130</v>
      </c>
      <c r="D967" s="65" t="s">
        <v>131</v>
      </c>
      <c r="E967" s="65" t="s">
        <v>199</v>
      </c>
    </row>
    <row r="968" spans="1:5" x14ac:dyDescent="0.45">
      <c r="A968">
        <v>20210301</v>
      </c>
      <c r="B968" s="65" t="s">
        <v>133</v>
      </c>
      <c r="C968" s="65" t="s">
        <v>130</v>
      </c>
      <c r="D968" s="65" t="s">
        <v>139</v>
      </c>
      <c r="E968" s="65" t="s">
        <v>133</v>
      </c>
    </row>
    <row r="969" spans="1:5" x14ac:dyDescent="0.45">
      <c r="A969">
        <v>20210306</v>
      </c>
      <c r="B969" s="65" t="s">
        <v>133</v>
      </c>
      <c r="C969" s="65" t="s">
        <v>130</v>
      </c>
      <c r="D969" s="65" t="s">
        <v>134</v>
      </c>
      <c r="E969" s="65" t="s">
        <v>133</v>
      </c>
    </row>
    <row r="970" spans="1:5" x14ac:dyDescent="0.45">
      <c r="A970">
        <v>20210307</v>
      </c>
      <c r="B970" s="65" t="s">
        <v>133</v>
      </c>
      <c r="C970" s="65" t="s">
        <v>130</v>
      </c>
      <c r="D970" s="65" t="s">
        <v>134</v>
      </c>
      <c r="E970" s="65" t="s">
        <v>133</v>
      </c>
    </row>
    <row r="971" spans="1:5" x14ac:dyDescent="0.45">
      <c r="A971">
        <v>20210313</v>
      </c>
      <c r="B971" s="65" t="s">
        <v>133</v>
      </c>
      <c r="C971" s="65" t="s">
        <v>130</v>
      </c>
      <c r="D971" s="65" t="s">
        <v>134</v>
      </c>
      <c r="E971" s="65" t="s">
        <v>133</v>
      </c>
    </row>
    <row r="972" spans="1:5" x14ac:dyDescent="0.45">
      <c r="A972">
        <v>20210314</v>
      </c>
      <c r="B972" s="65" t="s">
        <v>133</v>
      </c>
      <c r="C972" s="65" t="s">
        <v>130</v>
      </c>
      <c r="D972" s="65" t="s">
        <v>134</v>
      </c>
      <c r="E972" s="65" t="s">
        <v>133</v>
      </c>
    </row>
    <row r="973" spans="1:5" x14ac:dyDescent="0.45">
      <c r="A973">
        <v>20210320</v>
      </c>
      <c r="B973" s="65" t="s">
        <v>133</v>
      </c>
      <c r="C973" s="65" t="s">
        <v>130</v>
      </c>
      <c r="D973" s="65" t="s">
        <v>134</v>
      </c>
      <c r="E973" s="65" t="s">
        <v>133</v>
      </c>
    </row>
    <row r="974" spans="1:5" x14ac:dyDescent="0.45">
      <c r="A974">
        <v>20210321</v>
      </c>
      <c r="B974" s="65" t="s">
        <v>133</v>
      </c>
      <c r="C974" s="65" t="s">
        <v>130</v>
      </c>
      <c r="D974" s="65" t="s">
        <v>134</v>
      </c>
      <c r="E974" s="65" t="s">
        <v>133</v>
      </c>
    </row>
    <row r="975" spans="1:5" x14ac:dyDescent="0.45">
      <c r="A975">
        <v>20210327</v>
      </c>
      <c r="B975" s="65" t="s">
        <v>133</v>
      </c>
      <c r="C975" s="65" t="s">
        <v>130</v>
      </c>
      <c r="D975" s="65" t="s">
        <v>134</v>
      </c>
      <c r="E975" s="65" t="s">
        <v>133</v>
      </c>
    </row>
    <row r="976" spans="1:5" x14ac:dyDescent="0.45">
      <c r="A976">
        <v>20210328</v>
      </c>
      <c r="B976" s="65" t="s">
        <v>133</v>
      </c>
      <c r="C976" s="65" t="s">
        <v>130</v>
      </c>
      <c r="D976" s="65" t="s">
        <v>134</v>
      </c>
      <c r="E976" s="65" t="s">
        <v>133</v>
      </c>
    </row>
    <row r="977" spans="1:5" x14ac:dyDescent="0.45">
      <c r="A977">
        <v>20210402</v>
      </c>
      <c r="B977" s="65" t="s">
        <v>133</v>
      </c>
      <c r="C977" s="65" t="s">
        <v>130</v>
      </c>
      <c r="D977" s="65" t="s">
        <v>139</v>
      </c>
      <c r="E977" s="65" t="s">
        <v>133</v>
      </c>
    </row>
    <row r="978" spans="1:5" x14ac:dyDescent="0.45">
      <c r="A978">
        <v>20210403</v>
      </c>
      <c r="B978" s="65" t="s">
        <v>133</v>
      </c>
      <c r="C978" s="65" t="s">
        <v>130</v>
      </c>
      <c r="D978" s="65" t="s">
        <v>131</v>
      </c>
      <c r="E978" s="65" t="s">
        <v>133</v>
      </c>
    </row>
    <row r="979" spans="1:5" x14ac:dyDescent="0.45">
      <c r="A979">
        <v>20210404</v>
      </c>
      <c r="B979" s="65" t="s">
        <v>150</v>
      </c>
      <c r="C979" s="65" t="s">
        <v>130</v>
      </c>
      <c r="D979" s="65" t="s">
        <v>131</v>
      </c>
      <c r="E979" s="65" t="s">
        <v>200</v>
      </c>
    </row>
    <row r="980" spans="1:5" x14ac:dyDescent="0.45">
      <c r="A980">
        <v>20210405</v>
      </c>
      <c r="B980" s="65" t="s">
        <v>133</v>
      </c>
      <c r="C980" s="65" t="s">
        <v>130</v>
      </c>
      <c r="D980" s="65" t="s">
        <v>139</v>
      </c>
      <c r="E980" s="65" t="s">
        <v>133</v>
      </c>
    </row>
    <row r="981" spans="1:5" x14ac:dyDescent="0.45">
      <c r="A981">
        <v>20210410</v>
      </c>
      <c r="B981" s="65" t="s">
        <v>133</v>
      </c>
      <c r="C981" s="65" t="s">
        <v>130</v>
      </c>
      <c r="D981" s="65" t="s">
        <v>134</v>
      </c>
      <c r="E981" s="65" t="s">
        <v>133</v>
      </c>
    </row>
    <row r="982" spans="1:5" x14ac:dyDescent="0.45">
      <c r="A982">
        <v>20210411</v>
      </c>
      <c r="B982" s="65" t="s">
        <v>133</v>
      </c>
      <c r="C982" s="65" t="s">
        <v>130</v>
      </c>
      <c r="D982" s="65" t="s">
        <v>134</v>
      </c>
      <c r="E982" s="65" t="s">
        <v>133</v>
      </c>
    </row>
    <row r="983" spans="1:5" x14ac:dyDescent="0.45">
      <c r="A983">
        <v>20210417</v>
      </c>
      <c r="B983" s="65" t="s">
        <v>133</v>
      </c>
      <c r="C983" s="65" t="s">
        <v>130</v>
      </c>
      <c r="D983" s="65" t="s">
        <v>134</v>
      </c>
      <c r="E983" s="65" t="s">
        <v>133</v>
      </c>
    </row>
    <row r="984" spans="1:5" x14ac:dyDescent="0.45">
      <c r="A984">
        <v>20210418</v>
      </c>
      <c r="B984" s="65" t="s">
        <v>133</v>
      </c>
      <c r="C984" s="65" t="s">
        <v>130</v>
      </c>
      <c r="D984" s="65" t="s">
        <v>134</v>
      </c>
      <c r="E984" s="65" t="s">
        <v>133</v>
      </c>
    </row>
    <row r="985" spans="1:5" x14ac:dyDescent="0.45">
      <c r="A985">
        <v>20210424</v>
      </c>
      <c r="B985" s="65" t="s">
        <v>133</v>
      </c>
      <c r="C985" s="65" t="s">
        <v>130</v>
      </c>
      <c r="D985" s="65" t="s">
        <v>134</v>
      </c>
      <c r="E985" s="65" t="s">
        <v>133</v>
      </c>
    </row>
    <row r="986" spans="1:5" x14ac:dyDescent="0.45">
      <c r="A986">
        <v>20210425</v>
      </c>
      <c r="B986" s="65" t="s">
        <v>133</v>
      </c>
      <c r="C986" s="65" t="s">
        <v>130</v>
      </c>
      <c r="D986" s="65" t="s">
        <v>134</v>
      </c>
      <c r="E986" s="65" t="s">
        <v>133</v>
      </c>
    </row>
    <row r="987" spans="1:5" x14ac:dyDescent="0.45">
      <c r="A987">
        <v>20210502</v>
      </c>
      <c r="B987" s="65" t="s">
        <v>133</v>
      </c>
      <c r="C987" s="65" t="s">
        <v>130</v>
      </c>
      <c r="D987" s="65" t="s">
        <v>134</v>
      </c>
      <c r="E987" s="65" t="s">
        <v>133</v>
      </c>
    </row>
    <row r="988" spans="1:5" x14ac:dyDescent="0.45">
      <c r="A988">
        <v>20210508</v>
      </c>
      <c r="B988" s="65" t="s">
        <v>133</v>
      </c>
      <c r="C988" s="65" t="s">
        <v>130</v>
      </c>
      <c r="D988" s="65" t="s">
        <v>134</v>
      </c>
      <c r="E988" s="65" t="s">
        <v>133</v>
      </c>
    </row>
    <row r="989" spans="1:5" x14ac:dyDescent="0.45">
      <c r="A989">
        <v>20210509</v>
      </c>
      <c r="B989" s="65" t="s">
        <v>133</v>
      </c>
      <c r="C989" s="65" t="s">
        <v>130</v>
      </c>
      <c r="D989" s="65" t="s">
        <v>134</v>
      </c>
      <c r="E989" s="65" t="s">
        <v>133</v>
      </c>
    </row>
    <row r="990" spans="1:5" x14ac:dyDescent="0.45">
      <c r="A990">
        <v>20210515</v>
      </c>
      <c r="B990" s="65" t="s">
        <v>133</v>
      </c>
      <c r="C990" s="65" t="s">
        <v>130</v>
      </c>
      <c r="D990" s="65" t="s">
        <v>134</v>
      </c>
      <c r="E990" s="65" t="s">
        <v>133</v>
      </c>
    </row>
    <row r="991" spans="1:5" x14ac:dyDescent="0.45">
      <c r="A991">
        <v>20210516</v>
      </c>
      <c r="B991" s="65" t="s">
        <v>133</v>
      </c>
      <c r="C991" s="65" t="s">
        <v>130</v>
      </c>
      <c r="D991" s="65" t="s">
        <v>134</v>
      </c>
      <c r="E991" s="65" t="s">
        <v>133</v>
      </c>
    </row>
    <row r="992" spans="1:5" x14ac:dyDescent="0.45">
      <c r="A992">
        <v>20210522</v>
      </c>
      <c r="B992" s="65" t="s">
        <v>133</v>
      </c>
      <c r="C992" s="65" t="s">
        <v>130</v>
      </c>
      <c r="D992" s="65" t="s">
        <v>134</v>
      </c>
      <c r="E992" s="65" t="s">
        <v>133</v>
      </c>
    </row>
    <row r="993" spans="1:5" x14ac:dyDescent="0.45">
      <c r="A993">
        <v>20210523</v>
      </c>
      <c r="B993" s="65" t="s">
        <v>133</v>
      </c>
      <c r="C993" s="65" t="s">
        <v>130</v>
      </c>
      <c r="D993" s="65" t="s">
        <v>134</v>
      </c>
      <c r="E993" s="65" t="s">
        <v>133</v>
      </c>
    </row>
    <row r="994" spans="1:5" x14ac:dyDescent="0.45">
      <c r="A994">
        <v>20210529</v>
      </c>
      <c r="B994" s="65" t="s">
        <v>133</v>
      </c>
      <c r="C994" s="65" t="s">
        <v>130</v>
      </c>
      <c r="D994" s="65" t="s">
        <v>134</v>
      </c>
      <c r="E994" s="65" t="s">
        <v>133</v>
      </c>
    </row>
    <row r="995" spans="1:5" x14ac:dyDescent="0.45">
      <c r="A995">
        <v>20210530</v>
      </c>
      <c r="B995" s="65" t="s">
        <v>133</v>
      </c>
      <c r="C995" s="65" t="s">
        <v>130</v>
      </c>
      <c r="D995" s="65" t="s">
        <v>134</v>
      </c>
      <c r="E995" s="65" t="s">
        <v>133</v>
      </c>
    </row>
    <row r="996" spans="1:5" x14ac:dyDescent="0.45">
      <c r="A996">
        <v>20210605</v>
      </c>
      <c r="B996" s="65" t="s">
        <v>133</v>
      </c>
      <c r="C996" s="65" t="s">
        <v>130</v>
      </c>
      <c r="D996" s="65" t="s">
        <v>134</v>
      </c>
      <c r="E996" s="65" t="s">
        <v>133</v>
      </c>
    </row>
    <row r="997" spans="1:5" x14ac:dyDescent="0.45">
      <c r="A997">
        <v>20210606</v>
      </c>
      <c r="B997" s="65" t="s">
        <v>133</v>
      </c>
      <c r="C997" s="65" t="s">
        <v>130</v>
      </c>
      <c r="D997" s="65" t="s">
        <v>134</v>
      </c>
      <c r="E997" s="65" t="s">
        <v>133</v>
      </c>
    </row>
    <row r="998" spans="1:5" x14ac:dyDescent="0.45">
      <c r="A998">
        <v>20210612</v>
      </c>
      <c r="B998" s="65" t="s">
        <v>133</v>
      </c>
      <c r="C998" s="65" t="s">
        <v>130</v>
      </c>
      <c r="D998" s="65" t="s">
        <v>134</v>
      </c>
      <c r="E998" s="65" t="s">
        <v>133</v>
      </c>
    </row>
    <row r="999" spans="1:5" x14ac:dyDescent="0.45">
      <c r="A999">
        <v>20210613</v>
      </c>
      <c r="B999" s="65" t="s">
        <v>133</v>
      </c>
      <c r="C999" s="65" t="s">
        <v>130</v>
      </c>
      <c r="D999" s="65" t="s">
        <v>134</v>
      </c>
      <c r="E999" s="65" t="s">
        <v>133</v>
      </c>
    </row>
    <row r="1000" spans="1:5" x14ac:dyDescent="0.45">
      <c r="A1000">
        <v>20210614</v>
      </c>
      <c r="B1000" s="65" t="s">
        <v>153</v>
      </c>
      <c r="C1000" s="65" t="s">
        <v>130</v>
      </c>
      <c r="D1000" s="65" t="s">
        <v>131</v>
      </c>
      <c r="E1000" s="65" t="s">
        <v>132</v>
      </c>
    </row>
    <row r="1001" spans="1:5" x14ac:dyDescent="0.45">
      <c r="A1001">
        <v>20210619</v>
      </c>
      <c r="B1001" s="65" t="s">
        <v>133</v>
      </c>
      <c r="C1001" s="65" t="s">
        <v>130</v>
      </c>
      <c r="D1001" s="65" t="s">
        <v>134</v>
      </c>
      <c r="E1001" s="65" t="s">
        <v>133</v>
      </c>
    </row>
    <row r="1002" spans="1:5" x14ac:dyDescent="0.45">
      <c r="A1002">
        <v>20210620</v>
      </c>
      <c r="B1002" s="65" t="s">
        <v>133</v>
      </c>
      <c r="C1002" s="65" t="s">
        <v>130</v>
      </c>
      <c r="D1002" s="65" t="s">
        <v>134</v>
      </c>
      <c r="E1002" s="65" t="s">
        <v>133</v>
      </c>
    </row>
    <row r="1003" spans="1:5" x14ac:dyDescent="0.45">
      <c r="A1003">
        <v>20210626</v>
      </c>
      <c r="B1003" s="65" t="s">
        <v>133</v>
      </c>
      <c r="C1003" s="65" t="s">
        <v>130</v>
      </c>
      <c r="D1003" s="65" t="s">
        <v>134</v>
      </c>
      <c r="E1003" s="65" t="s">
        <v>133</v>
      </c>
    </row>
    <row r="1004" spans="1:5" x14ac:dyDescent="0.45">
      <c r="A1004">
        <v>20210627</v>
      </c>
      <c r="B1004" s="65" t="s">
        <v>133</v>
      </c>
      <c r="C1004" s="65" t="s">
        <v>130</v>
      </c>
      <c r="D1004" s="65" t="s">
        <v>134</v>
      </c>
      <c r="E1004" s="65" t="s">
        <v>133</v>
      </c>
    </row>
    <row r="1005" spans="1:5" x14ac:dyDescent="0.45">
      <c r="A1005">
        <v>20210703</v>
      </c>
      <c r="B1005" s="65" t="s">
        <v>133</v>
      </c>
      <c r="C1005" s="65" t="s">
        <v>130</v>
      </c>
      <c r="D1005" s="65" t="s">
        <v>134</v>
      </c>
      <c r="E1005" s="65" t="s">
        <v>133</v>
      </c>
    </row>
    <row r="1006" spans="1:5" x14ac:dyDescent="0.45">
      <c r="A1006">
        <v>20210704</v>
      </c>
      <c r="B1006" s="65" t="s">
        <v>133</v>
      </c>
      <c r="C1006" s="65" t="s">
        <v>130</v>
      </c>
      <c r="D1006" s="65" t="s">
        <v>134</v>
      </c>
      <c r="E1006" s="65" t="s">
        <v>133</v>
      </c>
    </row>
    <row r="1007" spans="1:5" x14ac:dyDescent="0.45">
      <c r="A1007">
        <v>20210710</v>
      </c>
      <c r="B1007" s="65" t="s">
        <v>133</v>
      </c>
      <c r="C1007" s="65" t="s">
        <v>130</v>
      </c>
      <c r="D1007" s="65" t="s">
        <v>134</v>
      </c>
      <c r="E1007" s="65" t="s">
        <v>133</v>
      </c>
    </row>
    <row r="1008" spans="1:5" x14ac:dyDescent="0.45">
      <c r="A1008">
        <v>20210711</v>
      </c>
      <c r="B1008" s="65" t="s">
        <v>133</v>
      </c>
      <c r="C1008" s="65" t="s">
        <v>130</v>
      </c>
      <c r="D1008" s="65" t="s">
        <v>134</v>
      </c>
      <c r="E1008" s="65" t="s">
        <v>133</v>
      </c>
    </row>
    <row r="1009" spans="1:5" x14ac:dyDescent="0.45">
      <c r="A1009">
        <v>20210717</v>
      </c>
      <c r="B1009" s="65" t="s">
        <v>133</v>
      </c>
      <c r="C1009" s="65" t="s">
        <v>130</v>
      </c>
      <c r="D1009" s="65" t="s">
        <v>134</v>
      </c>
      <c r="E1009" s="65" t="s">
        <v>133</v>
      </c>
    </row>
    <row r="1010" spans="1:5" x14ac:dyDescent="0.45">
      <c r="A1010">
        <v>20210718</v>
      </c>
      <c r="B1010" s="65" t="s">
        <v>133</v>
      </c>
      <c r="C1010" s="65" t="s">
        <v>130</v>
      </c>
      <c r="D1010" s="65" t="s">
        <v>134</v>
      </c>
      <c r="E1010" s="65" t="s">
        <v>133</v>
      </c>
    </row>
    <row r="1011" spans="1:5" x14ac:dyDescent="0.45">
      <c r="A1011">
        <v>20210724</v>
      </c>
      <c r="B1011" s="65" t="s">
        <v>133</v>
      </c>
      <c r="C1011" s="65" t="s">
        <v>130</v>
      </c>
      <c r="D1011" s="65" t="s">
        <v>134</v>
      </c>
      <c r="E1011" s="65" t="s">
        <v>133</v>
      </c>
    </row>
    <row r="1012" spans="1:5" x14ac:dyDescent="0.45">
      <c r="A1012">
        <v>20210725</v>
      </c>
      <c r="B1012" s="65" t="s">
        <v>133</v>
      </c>
      <c r="C1012" s="65" t="s">
        <v>130</v>
      </c>
      <c r="D1012" s="65" t="s">
        <v>134</v>
      </c>
      <c r="E1012" s="65" t="s">
        <v>133</v>
      </c>
    </row>
    <row r="1013" spans="1:5" x14ac:dyDescent="0.45">
      <c r="A1013">
        <v>20210731</v>
      </c>
      <c r="B1013" s="65" t="s">
        <v>133</v>
      </c>
      <c r="C1013" s="65" t="s">
        <v>130</v>
      </c>
      <c r="D1013" s="65" t="s">
        <v>134</v>
      </c>
      <c r="E1013" s="65" t="s">
        <v>133</v>
      </c>
    </row>
    <row r="1014" spans="1:5" x14ac:dyDescent="0.45">
      <c r="A1014">
        <v>20210801</v>
      </c>
      <c r="B1014" s="65" t="s">
        <v>133</v>
      </c>
      <c r="C1014" s="65" t="s">
        <v>130</v>
      </c>
      <c r="D1014" s="65" t="s">
        <v>134</v>
      </c>
      <c r="E1014" s="65" t="s">
        <v>133</v>
      </c>
    </row>
    <row r="1015" spans="1:5" x14ac:dyDescent="0.45">
      <c r="A1015">
        <v>20210807</v>
      </c>
      <c r="B1015" s="65" t="s">
        <v>133</v>
      </c>
      <c r="C1015" s="65" t="s">
        <v>130</v>
      </c>
      <c r="D1015" s="65" t="s">
        <v>134</v>
      </c>
      <c r="E1015" s="65" t="s">
        <v>133</v>
      </c>
    </row>
    <row r="1016" spans="1:5" x14ac:dyDescent="0.45">
      <c r="A1016">
        <v>20210808</v>
      </c>
      <c r="B1016" s="65" t="s">
        <v>133</v>
      </c>
      <c r="C1016" s="65" t="s">
        <v>130</v>
      </c>
      <c r="D1016" s="65" t="s">
        <v>134</v>
      </c>
      <c r="E1016" s="65" t="s">
        <v>133</v>
      </c>
    </row>
    <row r="1017" spans="1:5" x14ac:dyDescent="0.45">
      <c r="A1017">
        <v>20210814</v>
      </c>
      <c r="B1017" s="65" t="s">
        <v>133</v>
      </c>
      <c r="C1017" s="65" t="s">
        <v>130</v>
      </c>
      <c r="D1017" s="65" t="s">
        <v>134</v>
      </c>
      <c r="E1017" s="65" t="s">
        <v>133</v>
      </c>
    </row>
    <row r="1018" spans="1:5" x14ac:dyDescent="0.45">
      <c r="A1018">
        <v>20210815</v>
      </c>
      <c r="B1018" s="65" t="s">
        <v>133</v>
      </c>
      <c r="C1018" s="65" t="s">
        <v>130</v>
      </c>
      <c r="D1018" s="65" t="s">
        <v>134</v>
      </c>
      <c r="E1018" s="65" t="s">
        <v>133</v>
      </c>
    </row>
    <row r="1019" spans="1:5" x14ac:dyDescent="0.45">
      <c r="A1019">
        <v>20210821</v>
      </c>
      <c r="B1019" s="65" t="s">
        <v>133</v>
      </c>
      <c r="C1019" s="65" t="s">
        <v>130</v>
      </c>
      <c r="D1019" s="65" t="s">
        <v>134</v>
      </c>
      <c r="E1019" s="65" t="s">
        <v>133</v>
      </c>
    </row>
    <row r="1020" spans="1:5" x14ac:dyDescent="0.45">
      <c r="A1020">
        <v>20210822</v>
      </c>
      <c r="B1020" s="65" t="s">
        <v>133</v>
      </c>
      <c r="C1020" s="65" t="s">
        <v>130</v>
      </c>
      <c r="D1020" s="65" t="s">
        <v>134</v>
      </c>
      <c r="E1020" s="65" t="s">
        <v>133</v>
      </c>
    </row>
    <row r="1021" spans="1:5" x14ac:dyDescent="0.45">
      <c r="A1021">
        <v>20210828</v>
      </c>
      <c r="B1021" s="65" t="s">
        <v>133</v>
      </c>
      <c r="C1021" s="65" t="s">
        <v>130</v>
      </c>
      <c r="D1021" s="65" t="s">
        <v>134</v>
      </c>
      <c r="E1021" s="65" t="s">
        <v>133</v>
      </c>
    </row>
    <row r="1022" spans="1:5" x14ac:dyDescent="0.45">
      <c r="A1022">
        <v>20210829</v>
      </c>
      <c r="B1022" s="65" t="s">
        <v>133</v>
      </c>
      <c r="C1022" s="65" t="s">
        <v>130</v>
      </c>
      <c r="D1022" s="65" t="s">
        <v>134</v>
      </c>
      <c r="E1022" s="65" t="s">
        <v>133</v>
      </c>
    </row>
    <row r="1023" spans="1:5" x14ac:dyDescent="0.45">
      <c r="A1023">
        <v>20210904</v>
      </c>
      <c r="B1023" s="65" t="s">
        <v>133</v>
      </c>
      <c r="C1023" s="65" t="s">
        <v>130</v>
      </c>
      <c r="D1023" s="65" t="s">
        <v>134</v>
      </c>
      <c r="E1023" s="65" t="s">
        <v>133</v>
      </c>
    </row>
    <row r="1024" spans="1:5" x14ac:dyDescent="0.45">
      <c r="A1024">
        <v>20210905</v>
      </c>
      <c r="B1024" s="65" t="s">
        <v>133</v>
      </c>
      <c r="C1024" s="65" t="s">
        <v>130</v>
      </c>
      <c r="D1024" s="65" t="s">
        <v>134</v>
      </c>
      <c r="E1024" s="65" t="s">
        <v>133</v>
      </c>
    </row>
    <row r="1025" spans="1:5" x14ac:dyDescent="0.45">
      <c r="A1025">
        <v>20210911</v>
      </c>
      <c r="B1025" s="65" t="s">
        <v>133</v>
      </c>
      <c r="C1025" s="65" t="s">
        <v>142</v>
      </c>
      <c r="D1025" s="65" t="s">
        <v>143</v>
      </c>
      <c r="E1025" s="65" t="s">
        <v>133</v>
      </c>
    </row>
    <row r="1026" spans="1:5" x14ac:dyDescent="0.45">
      <c r="A1026">
        <v>20210912</v>
      </c>
      <c r="B1026" s="65" t="s">
        <v>133</v>
      </c>
      <c r="C1026" s="65" t="s">
        <v>130</v>
      </c>
      <c r="D1026" s="65" t="s">
        <v>134</v>
      </c>
      <c r="E1026" s="65" t="s">
        <v>133</v>
      </c>
    </row>
    <row r="1027" spans="1:5" x14ac:dyDescent="0.45">
      <c r="A1027">
        <v>20210918</v>
      </c>
      <c r="B1027" s="65" t="s">
        <v>133</v>
      </c>
      <c r="C1027" s="65" t="s">
        <v>130</v>
      </c>
      <c r="D1027" s="65" t="s">
        <v>134</v>
      </c>
      <c r="E1027" s="65" t="s">
        <v>133</v>
      </c>
    </row>
    <row r="1028" spans="1:5" x14ac:dyDescent="0.45">
      <c r="A1028">
        <v>20210919</v>
      </c>
      <c r="B1028" s="65" t="s">
        <v>133</v>
      </c>
      <c r="C1028" s="65" t="s">
        <v>130</v>
      </c>
      <c r="D1028" s="65" t="s">
        <v>134</v>
      </c>
      <c r="E1028" s="65" t="s">
        <v>133</v>
      </c>
    </row>
    <row r="1029" spans="1:5" x14ac:dyDescent="0.45">
      <c r="A1029">
        <v>20210920</v>
      </c>
      <c r="B1029" s="65" t="s">
        <v>133</v>
      </c>
      <c r="C1029" s="65" t="s">
        <v>130</v>
      </c>
      <c r="D1029" s="65" t="s">
        <v>140</v>
      </c>
      <c r="E1029" s="65" t="s">
        <v>133</v>
      </c>
    </row>
    <row r="1030" spans="1:5" x14ac:dyDescent="0.45">
      <c r="A1030">
        <v>20210921</v>
      </c>
      <c r="B1030" s="65" t="s">
        <v>154</v>
      </c>
      <c r="C1030" s="65" t="s">
        <v>130</v>
      </c>
      <c r="D1030" s="65" t="s">
        <v>131</v>
      </c>
      <c r="E1030" s="65" t="s">
        <v>201</v>
      </c>
    </row>
    <row r="1031" spans="1:5" x14ac:dyDescent="0.45">
      <c r="A1031">
        <v>20210925</v>
      </c>
      <c r="B1031" s="65" t="s">
        <v>133</v>
      </c>
      <c r="C1031" s="65" t="s">
        <v>130</v>
      </c>
      <c r="D1031" s="65" t="s">
        <v>134</v>
      </c>
      <c r="E1031" s="65" t="s">
        <v>133</v>
      </c>
    </row>
    <row r="1032" spans="1:5" x14ac:dyDescent="0.45">
      <c r="A1032">
        <v>20210926</v>
      </c>
      <c r="B1032" s="65" t="s">
        <v>133</v>
      </c>
      <c r="C1032" s="65" t="s">
        <v>130</v>
      </c>
      <c r="D1032" s="65" t="s">
        <v>134</v>
      </c>
      <c r="E1032" s="65" t="s">
        <v>133</v>
      </c>
    </row>
    <row r="1033" spans="1:5" x14ac:dyDescent="0.45">
      <c r="A1033">
        <v>20211002</v>
      </c>
      <c r="B1033" s="65" t="s">
        <v>133</v>
      </c>
      <c r="C1033" s="65" t="s">
        <v>130</v>
      </c>
      <c r="D1033" s="65" t="s">
        <v>134</v>
      </c>
      <c r="E1033" s="65" t="s">
        <v>133</v>
      </c>
    </row>
    <row r="1034" spans="1:5" x14ac:dyDescent="0.45">
      <c r="A1034">
        <v>20211003</v>
      </c>
      <c r="B1034" s="65" t="s">
        <v>133</v>
      </c>
      <c r="C1034" s="65" t="s">
        <v>130</v>
      </c>
      <c r="D1034" s="65" t="s">
        <v>134</v>
      </c>
      <c r="E1034" s="65" t="s">
        <v>133</v>
      </c>
    </row>
    <row r="1035" spans="1:5" x14ac:dyDescent="0.45">
      <c r="A1035">
        <v>20211009</v>
      </c>
      <c r="B1035" s="65" t="s">
        <v>133</v>
      </c>
      <c r="C1035" s="65" t="s">
        <v>130</v>
      </c>
      <c r="D1035" s="65" t="s">
        <v>134</v>
      </c>
      <c r="E1035" s="65" t="s">
        <v>133</v>
      </c>
    </row>
    <row r="1036" spans="1:5" x14ac:dyDescent="0.45">
      <c r="A1036">
        <v>20211010</v>
      </c>
      <c r="B1036" s="65" t="s">
        <v>158</v>
      </c>
      <c r="C1036" s="65" t="s">
        <v>130</v>
      </c>
      <c r="D1036" s="65" t="s">
        <v>131</v>
      </c>
      <c r="E1036" s="65" t="s">
        <v>202</v>
      </c>
    </row>
    <row r="1037" spans="1:5" x14ac:dyDescent="0.45">
      <c r="A1037">
        <v>20211011</v>
      </c>
      <c r="B1037" s="65" t="s">
        <v>133</v>
      </c>
      <c r="C1037" s="65" t="s">
        <v>130</v>
      </c>
      <c r="D1037" s="65" t="s">
        <v>139</v>
      </c>
      <c r="E1037" s="65" t="s">
        <v>133</v>
      </c>
    </row>
    <row r="1038" spans="1:5" x14ac:dyDescent="0.45">
      <c r="A1038">
        <v>20211016</v>
      </c>
      <c r="B1038" s="65" t="s">
        <v>133</v>
      </c>
      <c r="C1038" s="65" t="s">
        <v>130</v>
      </c>
      <c r="D1038" s="65" t="s">
        <v>134</v>
      </c>
      <c r="E1038" s="65" t="s">
        <v>133</v>
      </c>
    </row>
    <row r="1039" spans="1:5" x14ac:dyDescent="0.45">
      <c r="A1039">
        <v>20211017</v>
      </c>
      <c r="B1039" s="65" t="s">
        <v>133</v>
      </c>
      <c r="C1039" s="65" t="s">
        <v>130</v>
      </c>
      <c r="D1039" s="65" t="s">
        <v>134</v>
      </c>
      <c r="E1039" s="65" t="s">
        <v>133</v>
      </c>
    </row>
    <row r="1040" spans="1:5" x14ac:dyDescent="0.45">
      <c r="A1040">
        <v>20211023</v>
      </c>
      <c r="B1040" s="65" t="s">
        <v>133</v>
      </c>
      <c r="C1040" s="65" t="s">
        <v>130</v>
      </c>
      <c r="D1040" s="65" t="s">
        <v>134</v>
      </c>
      <c r="E1040" s="65" t="s">
        <v>133</v>
      </c>
    </row>
    <row r="1041" spans="1:5" x14ac:dyDescent="0.45">
      <c r="A1041">
        <v>20211024</v>
      </c>
      <c r="B1041" s="65" t="s">
        <v>133</v>
      </c>
      <c r="C1041" s="65" t="s">
        <v>130</v>
      </c>
      <c r="D1041" s="65" t="s">
        <v>134</v>
      </c>
      <c r="E1041" s="65" t="s">
        <v>133</v>
      </c>
    </row>
    <row r="1042" spans="1:5" x14ac:dyDescent="0.45">
      <c r="A1042">
        <v>20211030</v>
      </c>
      <c r="B1042" s="65" t="s">
        <v>133</v>
      </c>
      <c r="C1042" s="65" t="s">
        <v>130</v>
      </c>
      <c r="D1042" s="65" t="s">
        <v>134</v>
      </c>
      <c r="E1042" s="65" t="s">
        <v>133</v>
      </c>
    </row>
    <row r="1043" spans="1:5" x14ac:dyDescent="0.45">
      <c r="A1043">
        <v>20211031</v>
      </c>
      <c r="B1043" s="65" t="s">
        <v>133</v>
      </c>
      <c r="C1043" s="65" t="s">
        <v>130</v>
      </c>
      <c r="D1043" s="65" t="s">
        <v>134</v>
      </c>
      <c r="E1043" s="65" t="s">
        <v>133</v>
      </c>
    </row>
    <row r="1044" spans="1:5" x14ac:dyDescent="0.45">
      <c r="A1044">
        <v>20211106</v>
      </c>
      <c r="B1044" s="65" t="s">
        <v>133</v>
      </c>
      <c r="C1044" s="65" t="s">
        <v>130</v>
      </c>
      <c r="D1044" s="65" t="s">
        <v>134</v>
      </c>
      <c r="E1044" s="65" t="s">
        <v>133</v>
      </c>
    </row>
    <row r="1045" spans="1:5" x14ac:dyDescent="0.45">
      <c r="A1045">
        <v>20211107</v>
      </c>
      <c r="B1045" s="65" t="s">
        <v>133</v>
      </c>
      <c r="C1045" s="65" t="s">
        <v>130</v>
      </c>
      <c r="D1045" s="65" t="s">
        <v>134</v>
      </c>
      <c r="E1045" s="65" t="s">
        <v>133</v>
      </c>
    </row>
    <row r="1046" spans="1:5" x14ac:dyDescent="0.45">
      <c r="A1046">
        <v>20211113</v>
      </c>
      <c r="B1046" s="65" t="s">
        <v>133</v>
      </c>
      <c r="C1046" s="65" t="s">
        <v>130</v>
      </c>
      <c r="D1046" s="65" t="s">
        <v>134</v>
      </c>
      <c r="E1046" s="65" t="s">
        <v>133</v>
      </c>
    </row>
    <row r="1047" spans="1:5" x14ac:dyDescent="0.45">
      <c r="A1047">
        <v>20211114</v>
      </c>
      <c r="B1047" s="65" t="s">
        <v>133</v>
      </c>
      <c r="C1047" s="65" t="s">
        <v>130</v>
      </c>
      <c r="D1047" s="65" t="s">
        <v>134</v>
      </c>
      <c r="E1047" s="65" t="s">
        <v>133</v>
      </c>
    </row>
    <row r="1048" spans="1:5" x14ac:dyDescent="0.45">
      <c r="A1048">
        <v>20211120</v>
      </c>
      <c r="B1048" s="65" t="s">
        <v>133</v>
      </c>
      <c r="C1048" s="65" t="s">
        <v>130</v>
      </c>
      <c r="D1048" s="65" t="s">
        <v>134</v>
      </c>
      <c r="E1048" s="65" t="s">
        <v>133</v>
      </c>
    </row>
    <row r="1049" spans="1:5" x14ac:dyDescent="0.45">
      <c r="A1049">
        <v>20211121</v>
      </c>
      <c r="B1049" s="65" t="s">
        <v>133</v>
      </c>
      <c r="C1049" s="65" t="s">
        <v>130</v>
      </c>
      <c r="D1049" s="65" t="s">
        <v>134</v>
      </c>
      <c r="E1049" s="65" t="s">
        <v>133</v>
      </c>
    </row>
    <row r="1050" spans="1:5" x14ac:dyDescent="0.45">
      <c r="A1050">
        <v>20211127</v>
      </c>
      <c r="B1050" s="65" t="s">
        <v>133</v>
      </c>
      <c r="C1050" s="65" t="s">
        <v>130</v>
      </c>
      <c r="D1050" s="65" t="s">
        <v>134</v>
      </c>
      <c r="E1050" s="65" t="s">
        <v>133</v>
      </c>
    </row>
    <row r="1051" spans="1:5" x14ac:dyDescent="0.45">
      <c r="A1051">
        <v>20211128</v>
      </c>
      <c r="B1051" s="65" t="s">
        <v>133</v>
      </c>
      <c r="C1051" s="65" t="s">
        <v>130</v>
      </c>
      <c r="D1051" s="65" t="s">
        <v>134</v>
      </c>
      <c r="E1051" s="65" t="s">
        <v>133</v>
      </c>
    </row>
    <row r="1052" spans="1:5" x14ac:dyDescent="0.45">
      <c r="A1052">
        <v>20211204</v>
      </c>
      <c r="B1052" s="65" t="s">
        <v>133</v>
      </c>
      <c r="C1052" s="65" t="s">
        <v>130</v>
      </c>
      <c r="D1052" s="65" t="s">
        <v>134</v>
      </c>
      <c r="E1052" s="65" t="s">
        <v>133</v>
      </c>
    </row>
    <row r="1053" spans="1:5" x14ac:dyDescent="0.45">
      <c r="A1053">
        <v>20211205</v>
      </c>
      <c r="B1053" s="65" t="s">
        <v>133</v>
      </c>
      <c r="C1053" s="65" t="s">
        <v>130</v>
      </c>
      <c r="D1053" s="65" t="s">
        <v>134</v>
      </c>
      <c r="E1053" s="65" t="s">
        <v>133</v>
      </c>
    </row>
    <row r="1054" spans="1:5" x14ac:dyDescent="0.45">
      <c r="A1054">
        <v>20211211</v>
      </c>
      <c r="B1054" s="65" t="s">
        <v>133</v>
      </c>
      <c r="C1054" s="65" t="s">
        <v>130</v>
      </c>
      <c r="D1054" s="65" t="s">
        <v>134</v>
      </c>
      <c r="E1054" s="65" t="s">
        <v>133</v>
      </c>
    </row>
    <row r="1055" spans="1:5" x14ac:dyDescent="0.45">
      <c r="A1055">
        <v>20211212</v>
      </c>
      <c r="B1055" s="65" t="s">
        <v>133</v>
      </c>
      <c r="C1055" s="65" t="s">
        <v>130</v>
      </c>
      <c r="D1055" s="65" t="s">
        <v>134</v>
      </c>
      <c r="E1055" s="65" t="s">
        <v>133</v>
      </c>
    </row>
    <row r="1056" spans="1:5" x14ac:dyDescent="0.45">
      <c r="A1056">
        <v>20211218</v>
      </c>
      <c r="B1056" s="65" t="s">
        <v>133</v>
      </c>
      <c r="C1056" s="65" t="s">
        <v>130</v>
      </c>
      <c r="D1056" s="65" t="s">
        <v>134</v>
      </c>
      <c r="E1056" s="65" t="s">
        <v>133</v>
      </c>
    </row>
    <row r="1057" spans="1:5" x14ac:dyDescent="0.45">
      <c r="A1057">
        <v>20211219</v>
      </c>
      <c r="B1057" s="65" t="s">
        <v>133</v>
      </c>
      <c r="C1057" s="65" t="s">
        <v>130</v>
      </c>
      <c r="D1057" s="65" t="s">
        <v>134</v>
      </c>
      <c r="E1057" s="65" t="s">
        <v>133</v>
      </c>
    </row>
    <row r="1058" spans="1:5" x14ac:dyDescent="0.45">
      <c r="A1058">
        <v>20211225</v>
      </c>
      <c r="B1058" s="65" t="s">
        <v>133</v>
      </c>
      <c r="C1058" s="65" t="s">
        <v>130</v>
      </c>
      <c r="D1058" s="65" t="s">
        <v>134</v>
      </c>
      <c r="E1058" s="65" t="s">
        <v>133</v>
      </c>
    </row>
    <row r="1059" spans="1:5" x14ac:dyDescent="0.45">
      <c r="A1059">
        <v>20211226</v>
      </c>
      <c r="B1059" s="65" t="s">
        <v>133</v>
      </c>
      <c r="C1059" s="65" t="s">
        <v>130</v>
      </c>
      <c r="D1059" s="65" t="s">
        <v>134</v>
      </c>
      <c r="E1059" s="65" t="s">
        <v>133</v>
      </c>
    </row>
    <row r="1060" spans="1:5" x14ac:dyDescent="0.45">
      <c r="A1060">
        <v>20211231</v>
      </c>
      <c r="B1060" s="65" t="s">
        <v>133</v>
      </c>
      <c r="C1060" s="65" t="s">
        <v>130</v>
      </c>
      <c r="D1060" s="65" t="s">
        <v>139</v>
      </c>
      <c r="E1060" s="65" t="s">
        <v>133</v>
      </c>
    </row>
    <row r="1061" spans="1:5" x14ac:dyDescent="0.45">
      <c r="A1061">
        <v>20220101</v>
      </c>
      <c r="B1061" s="65" t="s">
        <v>129</v>
      </c>
      <c r="C1061" s="65" t="s">
        <v>130</v>
      </c>
      <c r="D1061" s="65" t="s">
        <v>131</v>
      </c>
      <c r="E1061" s="65" t="s">
        <v>203</v>
      </c>
    </row>
    <row r="1062" spans="1:5" x14ac:dyDescent="0.45">
      <c r="A1062">
        <v>20220102</v>
      </c>
      <c r="B1062" s="65" t="s">
        <v>133</v>
      </c>
      <c r="C1062" s="65" t="s">
        <v>130</v>
      </c>
      <c r="D1062" s="65" t="s">
        <v>134</v>
      </c>
      <c r="E1062" s="65" t="s">
        <v>133</v>
      </c>
    </row>
    <row r="1063" spans="1:5" x14ac:dyDescent="0.45">
      <c r="A1063">
        <v>20220108</v>
      </c>
      <c r="B1063" s="65" t="s">
        <v>133</v>
      </c>
      <c r="C1063" s="65" t="s">
        <v>130</v>
      </c>
      <c r="D1063" s="65" t="s">
        <v>134</v>
      </c>
      <c r="E1063" s="65" t="s">
        <v>133</v>
      </c>
    </row>
    <row r="1064" spans="1:5" x14ac:dyDescent="0.45">
      <c r="A1064">
        <v>20220109</v>
      </c>
      <c r="B1064" s="65" t="s">
        <v>133</v>
      </c>
      <c r="C1064" s="65" t="s">
        <v>130</v>
      </c>
      <c r="D1064" s="65" t="s">
        <v>134</v>
      </c>
      <c r="E1064" s="65" t="s">
        <v>133</v>
      </c>
    </row>
    <row r="1065" spans="1:5" x14ac:dyDescent="0.45">
      <c r="A1065">
        <v>20220115</v>
      </c>
      <c r="B1065" s="65" t="s">
        <v>133</v>
      </c>
      <c r="C1065" s="65" t="s">
        <v>130</v>
      </c>
      <c r="D1065" s="65" t="s">
        <v>134</v>
      </c>
      <c r="E1065" s="65" t="s">
        <v>133</v>
      </c>
    </row>
    <row r="1066" spans="1:5" x14ac:dyDescent="0.45">
      <c r="A1066">
        <v>20220116</v>
      </c>
      <c r="B1066" s="65" t="s">
        <v>133</v>
      </c>
      <c r="C1066" s="65" t="s">
        <v>130</v>
      </c>
      <c r="D1066" s="65" t="s">
        <v>134</v>
      </c>
      <c r="E1066" s="65" t="s">
        <v>133</v>
      </c>
    </row>
    <row r="1067" spans="1:5" x14ac:dyDescent="0.45">
      <c r="A1067">
        <v>20220122</v>
      </c>
      <c r="B1067" s="65" t="s">
        <v>133</v>
      </c>
      <c r="C1067" s="65" t="s">
        <v>142</v>
      </c>
      <c r="D1067" s="65" t="s">
        <v>143</v>
      </c>
      <c r="E1067" s="65" t="s">
        <v>133</v>
      </c>
    </row>
    <row r="1068" spans="1:5" x14ac:dyDescent="0.45">
      <c r="A1068">
        <v>20220123</v>
      </c>
      <c r="B1068" s="65" t="s">
        <v>133</v>
      </c>
      <c r="C1068" s="65" t="s">
        <v>130</v>
      </c>
      <c r="D1068" s="65" t="s">
        <v>134</v>
      </c>
      <c r="E1068" s="65" t="s">
        <v>133</v>
      </c>
    </row>
    <row r="1069" spans="1:5" x14ac:dyDescent="0.45">
      <c r="A1069">
        <v>20220129</v>
      </c>
      <c r="B1069" s="65" t="s">
        <v>133</v>
      </c>
      <c r="C1069" s="65" t="s">
        <v>130</v>
      </c>
      <c r="D1069" s="65" t="s">
        <v>134</v>
      </c>
      <c r="E1069" s="65" t="s">
        <v>133</v>
      </c>
    </row>
    <row r="1070" spans="1:5" x14ac:dyDescent="0.45">
      <c r="A1070">
        <v>20220130</v>
      </c>
      <c r="B1070" s="65" t="s">
        <v>133</v>
      </c>
      <c r="C1070" s="65" t="s">
        <v>130</v>
      </c>
      <c r="D1070" s="65" t="s">
        <v>134</v>
      </c>
      <c r="E1070" s="65" t="s">
        <v>133</v>
      </c>
    </row>
    <row r="1071" spans="1:5" x14ac:dyDescent="0.45">
      <c r="A1071">
        <v>20220131</v>
      </c>
      <c r="B1071" s="65" t="s">
        <v>135</v>
      </c>
      <c r="C1071" s="65" t="s">
        <v>130</v>
      </c>
      <c r="D1071" s="65" t="s">
        <v>131</v>
      </c>
      <c r="E1071" s="65" t="s">
        <v>132</v>
      </c>
    </row>
    <row r="1072" spans="1:5" x14ac:dyDescent="0.45">
      <c r="A1072">
        <v>20220201</v>
      </c>
      <c r="B1072" s="65" t="s">
        <v>137</v>
      </c>
      <c r="C1072" s="65" t="s">
        <v>130</v>
      </c>
      <c r="D1072" s="65" t="s">
        <v>131</v>
      </c>
      <c r="E1072" s="65" t="s">
        <v>204</v>
      </c>
    </row>
    <row r="1073" spans="1:5" x14ac:dyDescent="0.45">
      <c r="A1073">
        <v>20220202</v>
      </c>
      <c r="B1073" s="65" t="s">
        <v>137</v>
      </c>
      <c r="C1073" s="65" t="s">
        <v>130</v>
      </c>
      <c r="D1073" s="65" t="s">
        <v>131</v>
      </c>
      <c r="E1073" s="65" t="s">
        <v>133</v>
      </c>
    </row>
    <row r="1074" spans="1:5" x14ac:dyDescent="0.45">
      <c r="A1074">
        <v>20220203</v>
      </c>
      <c r="B1074" s="65" t="s">
        <v>137</v>
      </c>
      <c r="C1074" s="65" t="s">
        <v>130</v>
      </c>
      <c r="D1074" s="65" t="s">
        <v>131</v>
      </c>
      <c r="E1074" s="65" t="s">
        <v>133</v>
      </c>
    </row>
    <row r="1075" spans="1:5" x14ac:dyDescent="0.45">
      <c r="A1075">
        <v>20220204</v>
      </c>
      <c r="B1075" s="65" t="s">
        <v>133</v>
      </c>
      <c r="C1075" s="65" t="s">
        <v>130</v>
      </c>
      <c r="D1075" s="65" t="s">
        <v>140</v>
      </c>
      <c r="E1075" s="65" t="s">
        <v>133</v>
      </c>
    </row>
    <row r="1076" spans="1:5" x14ac:dyDescent="0.45">
      <c r="A1076">
        <v>20220205</v>
      </c>
      <c r="B1076" s="65" t="s">
        <v>133</v>
      </c>
      <c r="C1076" s="65" t="s">
        <v>130</v>
      </c>
      <c r="D1076" s="65" t="s">
        <v>134</v>
      </c>
      <c r="E1076" s="65" t="s">
        <v>133</v>
      </c>
    </row>
    <row r="1077" spans="1:5" x14ac:dyDescent="0.45">
      <c r="A1077">
        <v>20220206</v>
      </c>
      <c r="B1077" s="65" t="s">
        <v>133</v>
      </c>
      <c r="C1077" s="65" t="s">
        <v>130</v>
      </c>
      <c r="D1077" s="65" t="s">
        <v>134</v>
      </c>
      <c r="E1077" s="65" t="s">
        <v>133</v>
      </c>
    </row>
    <row r="1078" spans="1:5" x14ac:dyDescent="0.45">
      <c r="A1078">
        <v>20220212</v>
      </c>
      <c r="B1078" s="65" t="s">
        <v>133</v>
      </c>
      <c r="C1078" s="65" t="s">
        <v>130</v>
      </c>
      <c r="D1078" s="65" t="s">
        <v>134</v>
      </c>
      <c r="E1078" s="65" t="s">
        <v>133</v>
      </c>
    </row>
    <row r="1079" spans="1:5" x14ac:dyDescent="0.45">
      <c r="A1079">
        <v>20220213</v>
      </c>
      <c r="B1079" s="65" t="s">
        <v>133</v>
      </c>
      <c r="C1079" s="65" t="s">
        <v>130</v>
      </c>
      <c r="D1079" s="65" t="s">
        <v>134</v>
      </c>
      <c r="E1079" s="65" t="s">
        <v>133</v>
      </c>
    </row>
    <row r="1080" spans="1:5" x14ac:dyDescent="0.45">
      <c r="A1080">
        <v>20220219</v>
      </c>
      <c r="B1080" s="65" t="s">
        <v>133</v>
      </c>
      <c r="C1080" s="65" t="s">
        <v>130</v>
      </c>
      <c r="D1080" s="65" t="s">
        <v>134</v>
      </c>
      <c r="E1080" s="65" t="s">
        <v>133</v>
      </c>
    </row>
    <row r="1081" spans="1:5" x14ac:dyDescent="0.45">
      <c r="A1081">
        <v>20220220</v>
      </c>
      <c r="B1081" s="65" t="s">
        <v>133</v>
      </c>
      <c r="C1081" s="65" t="s">
        <v>130</v>
      </c>
      <c r="D1081" s="65" t="s">
        <v>134</v>
      </c>
      <c r="E1081" s="65" t="s">
        <v>133</v>
      </c>
    </row>
    <row r="1082" spans="1:5" x14ac:dyDescent="0.45">
      <c r="A1082">
        <v>20220226</v>
      </c>
      <c r="B1082" s="65" t="s">
        <v>133</v>
      </c>
      <c r="C1082" s="65" t="s">
        <v>130</v>
      </c>
      <c r="D1082" s="65" t="s">
        <v>134</v>
      </c>
      <c r="E1082" s="65" t="s">
        <v>133</v>
      </c>
    </row>
    <row r="1083" spans="1:5" x14ac:dyDescent="0.45">
      <c r="A1083">
        <v>20220227</v>
      </c>
      <c r="B1083" s="65" t="s">
        <v>133</v>
      </c>
      <c r="C1083" s="65" t="s">
        <v>130</v>
      </c>
      <c r="D1083" s="65" t="s">
        <v>134</v>
      </c>
      <c r="E1083" s="65" t="s">
        <v>133</v>
      </c>
    </row>
    <row r="1084" spans="1:5" x14ac:dyDescent="0.45">
      <c r="A1084">
        <v>20220228</v>
      </c>
      <c r="B1084" s="65" t="s">
        <v>145</v>
      </c>
      <c r="C1084" s="65" t="s">
        <v>130</v>
      </c>
      <c r="D1084" s="65" t="s">
        <v>131</v>
      </c>
      <c r="E1084" s="65" t="s">
        <v>132</v>
      </c>
    </row>
    <row r="1085" spans="1:5" x14ac:dyDescent="0.45">
      <c r="A1085">
        <v>20220305</v>
      </c>
      <c r="B1085" s="65" t="s">
        <v>133</v>
      </c>
      <c r="C1085" s="65" t="s">
        <v>130</v>
      </c>
      <c r="D1085" s="65" t="s">
        <v>134</v>
      </c>
      <c r="E1085" s="65" t="s">
        <v>133</v>
      </c>
    </row>
    <row r="1086" spans="1:5" x14ac:dyDescent="0.45">
      <c r="A1086">
        <v>20220306</v>
      </c>
      <c r="B1086" s="65" t="s">
        <v>133</v>
      </c>
      <c r="C1086" s="65" t="s">
        <v>130</v>
      </c>
      <c r="D1086" s="65" t="s">
        <v>134</v>
      </c>
      <c r="E1086" s="65" t="s">
        <v>133</v>
      </c>
    </row>
    <row r="1087" spans="1:5" x14ac:dyDescent="0.45">
      <c r="A1087">
        <v>20220312</v>
      </c>
      <c r="B1087" s="65" t="s">
        <v>133</v>
      </c>
      <c r="C1087" s="65" t="s">
        <v>130</v>
      </c>
      <c r="D1087" s="65" t="s">
        <v>134</v>
      </c>
      <c r="E1087" s="65" t="s">
        <v>133</v>
      </c>
    </row>
    <row r="1088" spans="1:5" x14ac:dyDescent="0.45">
      <c r="A1088">
        <v>20220313</v>
      </c>
      <c r="B1088" s="65" t="s">
        <v>133</v>
      </c>
      <c r="C1088" s="65" t="s">
        <v>130</v>
      </c>
      <c r="D1088" s="65" t="s">
        <v>134</v>
      </c>
      <c r="E1088" s="65" t="s">
        <v>133</v>
      </c>
    </row>
    <row r="1089" spans="1:5" x14ac:dyDescent="0.45">
      <c r="A1089">
        <v>20220319</v>
      </c>
      <c r="B1089" s="65" t="s">
        <v>133</v>
      </c>
      <c r="C1089" s="65" t="s">
        <v>130</v>
      </c>
      <c r="D1089" s="65" t="s">
        <v>134</v>
      </c>
      <c r="E1089" s="65" t="s">
        <v>133</v>
      </c>
    </row>
    <row r="1090" spans="1:5" x14ac:dyDescent="0.45">
      <c r="A1090">
        <v>20220320</v>
      </c>
      <c r="B1090" s="65" t="s">
        <v>133</v>
      </c>
      <c r="C1090" s="65" t="s">
        <v>130</v>
      </c>
      <c r="D1090" s="65" t="s">
        <v>134</v>
      </c>
      <c r="E1090" s="65" t="s">
        <v>133</v>
      </c>
    </row>
    <row r="1091" spans="1:5" x14ac:dyDescent="0.45">
      <c r="A1091">
        <v>20220326</v>
      </c>
      <c r="B1091" s="65" t="s">
        <v>133</v>
      </c>
      <c r="C1091" s="65" t="s">
        <v>130</v>
      </c>
      <c r="D1091" s="65" t="s">
        <v>134</v>
      </c>
      <c r="E1091" s="65" t="s">
        <v>133</v>
      </c>
    </row>
    <row r="1092" spans="1:5" x14ac:dyDescent="0.45">
      <c r="A1092">
        <v>20220327</v>
      </c>
      <c r="B1092" s="65" t="s">
        <v>133</v>
      </c>
      <c r="C1092" s="65" t="s">
        <v>130</v>
      </c>
      <c r="D1092" s="65" t="s">
        <v>134</v>
      </c>
      <c r="E1092" s="65" t="s">
        <v>133</v>
      </c>
    </row>
    <row r="1093" spans="1:5" x14ac:dyDescent="0.45">
      <c r="A1093">
        <v>20220402</v>
      </c>
      <c r="B1093" s="65" t="s">
        <v>133</v>
      </c>
      <c r="C1093" s="65" t="s">
        <v>130</v>
      </c>
      <c r="D1093" s="65" t="s">
        <v>134</v>
      </c>
      <c r="E1093" s="65" t="s">
        <v>133</v>
      </c>
    </row>
    <row r="1094" spans="1:5" x14ac:dyDescent="0.45">
      <c r="A1094">
        <v>20220403</v>
      </c>
      <c r="B1094" s="65" t="s">
        <v>133</v>
      </c>
      <c r="C1094" s="65" t="s">
        <v>130</v>
      </c>
      <c r="D1094" s="65" t="s">
        <v>134</v>
      </c>
      <c r="E1094" s="65" t="s">
        <v>133</v>
      </c>
    </row>
    <row r="1095" spans="1:5" x14ac:dyDescent="0.45">
      <c r="A1095">
        <v>20220404</v>
      </c>
      <c r="B1095" s="65" t="s">
        <v>164</v>
      </c>
      <c r="C1095" s="65" t="s">
        <v>130</v>
      </c>
      <c r="D1095" s="65" t="s">
        <v>131</v>
      </c>
      <c r="E1095" s="65" t="s">
        <v>132</v>
      </c>
    </row>
    <row r="1096" spans="1:5" x14ac:dyDescent="0.45">
      <c r="A1096">
        <v>20220405</v>
      </c>
      <c r="B1096" s="65" t="s">
        <v>165</v>
      </c>
      <c r="C1096" s="65" t="s">
        <v>130</v>
      </c>
      <c r="D1096" s="65" t="s">
        <v>131</v>
      </c>
      <c r="E1096" s="65" t="s">
        <v>132</v>
      </c>
    </row>
    <row r="1097" spans="1:5" x14ac:dyDescent="0.45">
      <c r="A1097">
        <v>20220409</v>
      </c>
      <c r="B1097" s="65" t="s">
        <v>133</v>
      </c>
      <c r="C1097" s="65" t="s">
        <v>130</v>
      </c>
      <c r="D1097" s="65" t="s">
        <v>134</v>
      </c>
      <c r="E1097" s="65" t="s">
        <v>133</v>
      </c>
    </row>
    <row r="1098" spans="1:5" x14ac:dyDescent="0.45">
      <c r="A1098">
        <v>20220410</v>
      </c>
      <c r="B1098" s="65" t="s">
        <v>133</v>
      </c>
      <c r="C1098" s="65" t="s">
        <v>130</v>
      </c>
      <c r="D1098" s="65" t="s">
        <v>134</v>
      </c>
      <c r="E1098" s="65" t="s">
        <v>133</v>
      </c>
    </row>
    <row r="1099" spans="1:5" x14ac:dyDescent="0.45">
      <c r="A1099">
        <v>20220416</v>
      </c>
      <c r="B1099" s="65" t="s">
        <v>133</v>
      </c>
      <c r="C1099" s="65" t="s">
        <v>130</v>
      </c>
      <c r="D1099" s="65" t="s">
        <v>134</v>
      </c>
      <c r="E1099" s="65" t="s">
        <v>133</v>
      </c>
    </row>
    <row r="1100" spans="1:5" x14ac:dyDescent="0.45">
      <c r="A1100">
        <v>20220417</v>
      </c>
      <c r="B1100" s="65" t="s">
        <v>133</v>
      </c>
      <c r="C1100" s="65" t="s">
        <v>130</v>
      </c>
      <c r="D1100" s="65" t="s">
        <v>134</v>
      </c>
      <c r="E1100" s="65" t="s">
        <v>133</v>
      </c>
    </row>
    <row r="1101" spans="1:5" x14ac:dyDescent="0.45">
      <c r="A1101">
        <v>20220423</v>
      </c>
      <c r="B1101" s="65" t="s">
        <v>133</v>
      </c>
      <c r="C1101" s="65" t="s">
        <v>130</v>
      </c>
      <c r="D1101" s="65" t="s">
        <v>134</v>
      </c>
      <c r="E1101" s="65" t="s">
        <v>133</v>
      </c>
    </row>
    <row r="1102" spans="1:5" x14ac:dyDescent="0.45">
      <c r="A1102">
        <v>20220424</v>
      </c>
      <c r="B1102" s="65" t="s">
        <v>133</v>
      </c>
      <c r="C1102" s="65" t="s">
        <v>130</v>
      </c>
      <c r="D1102" s="65" t="s">
        <v>134</v>
      </c>
      <c r="E1102" s="65" t="s">
        <v>133</v>
      </c>
    </row>
    <row r="1103" spans="1:5" x14ac:dyDescent="0.45">
      <c r="A1103">
        <v>20220430</v>
      </c>
      <c r="B1103" s="65" t="s">
        <v>133</v>
      </c>
      <c r="C1103" s="65" t="s">
        <v>130</v>
      </c>
      <c r="D1103" s="65" t="s">
        <v>134</v>
      </c>
      <c r="E1103" s="65" t="s">
        <v>133</v>
      </c>
    </row>
    <row r="1104" spans="1:5" x14ac:dyDescent="0.45">
      <c r="A1104">
        <v>20220507</v>
      </c>
      <c r="B1104" s="65" t="s">
        <v>133</v>
      </c>
      <c r="C1104" s="65" t="s">
        <v>130</v>
      </c>
      <c r="D1104" s="65" t="s">
        <v>134</v>
      </c>
      <c r="E1104" s="65" t="s">
        <v>133</v>
      </c>
    </row>
    <row r="1105" spans="1:5" x14ac:dyDescent="0.45">
      <c r="A1105">
        <v>20220508</v>
      </c>
      <c r="B1105" s="65" t="s">
        <v>133</v>
      </c>
      <c r="C1105" s="65" t="s">
        <v>130</v>
      </c>
      <c r="D1105" s="65" t="s">
        <v>134</v>
      </c>
      <c r="E1105" s="65" t="s">
        <v>133</v>
      </c>
    </row>
    <row r="1106" spans="1:5" x14ac:dyDescent="0.45">
      <c r="A1106">
        <v>20220514</v>
      </c>
      <c r="B1106" s="65" t="s">
        <v>133</v>
      </c>
      <c r="C1106" s="65" t="s">
        <v>130</v>
      </c>
      <c r="D1106" s="65" t="s">
        <v>134</v>
      </c>
      <c r="E1106" s="65" t="s">
        <v>133</v>
      </c>
    </row>
    <row r="1107" spans="1:5" x14ac:dyDescent="0.45">
      <c r="A1107">
        <v>20220515</v>
      </c>
      <c r="B1107" s="65" t="s">
        <v>133</v>
      </c>
      <c r="C1107" s="65" t="s">
        <v>130</v>
      </c>
      <c r="D1107" s="65" t="s">
        <v>134</v>
      </c>
      <c r="E1107" s="65" t="s">
        <v>133</v>
      </c>
    </row>
    <row r="1108" spans="1:5" x14ac:dyDescent="0.45">
      <c r="A1108">
        <v>20220521</v>
      </c>
      <c r="B1108" s="65" t="s">
        <v>133</v>
      </c>
      <c r="C1108" s="65" t="s">
        <v>130</v>
      </c>
      <c r="D1108" s="65" t="s">
        <v>134</v>
      </c>
      <c r="E1108" s="65" t="s">
        <v>133</v>
      </c>
    </row>
    <row r="1109" spans="1:5" x14ac:dyDescent="0.45">
      <c r="A1109">
        <v>20220522</v>
      </c>
      <c r="B1109" s="65" t="s">
        <v>133</v>
      </c>
      <c r="C1109" s="65" t="s">
        <v>130</v>
      </c>
      <c r="D1109" s="65" t="s">
        <v>134</v>
      </c>
      <c r="E1109" s="65" t="s">
        <v>133</v>
      </c>
    </row>
    <row r="1110" spans="1:5" x14ac:dyDescent="0.45">
      <c r="A1110">
        <v>20220528</v>
      </c>
      <c r="B1110" s="65" t="s">
        <v>133</v>
      </c>
      <c r="C1110" s="65" t="s">
        <v>130</v>
      </c>
      <c r="D1110" s="65" t="s">
        <v>134</v>
      </c>
      <c r="E1110" s="65" t="s">
        <v>133</v>
      </c>
    </row>
    <row r="1111" spans="1:5" x14ac:dyDescent="0.45">
      <c r="A1111">
        <v>20220529</v>
      </c>
      <c r="B1111" s="65" t="s">
        <v>133</v>
      </c>
      <c r="C1111" s="65" t="s">
        <v>130</v>
      </c>
      <c r="D1111" s="65" t="s">
        <v>134</v>
      </c>
      <c r="E1111" s="65" t="s">
        <v>133</v>
      </c>
    </row>
    <row r="1112" spans="1:5" x14ac:dyDescent="0.45">
      <c r="A1112">
        <v>20220603</v>
      </c>
      <c r="B1112" s="65" t="s">
        <v>153</v>
      </c>
      <c r="C1112" s="65" t="s">
        <v>130</v>
      </c>
      <c r="D1112" s="65" t="s">
        <v>131</v>
      </c>
      <c r="E1112" s="65" t="s">
        <v>132</v>
      </c>
    </row>
    <row r="1113" spans="1:5" x14ac:dyDescent="0.45">
      <c r="A1113">
        <v>20220604</v>
      </c>
      <c r="B1113" s="65" t="s">
        <v>133</v>
      </c>
      <c r="C1113" s="65" t="s">
        <v>130</v>
      </c>
      <c r="D1113" s="65" t="s">
        <v>134</v>
      </c>
      <c r="E1113" s="65" t="s">
        <v>133</v>
      </c>
    </row>
    <row r="1114" spans="1:5" x14ac:dyDescent="0.45">
      <c r="A1114">
        <v>20220605</v>
      </c>
      <c r="B1114" s="65" t="s">
        <v>133</v>
      </c>
      <c r="C1114" s="65" t="s">
        <v>130</v>
      </c>
      <c r="D1114" s="65" t="s">
        <v>134</v>
      </c>
      <c r="E1114" s="65" t="s">
        <v>133</v>
      </c>
    </row>
    <row r="1115" spans="1:5" x14ac:dyDescent="0.45">
      <c r="A1115">
        <v>20220611</v>
      </c>
      <c r="B1115" s="65" t="s">
        <v>133</v>
      </c>
      <c r="C1115" s="65" t="s">
        <v>130</v>
      </c>
      <c r="D1115" s="65" t="s">
        <v>134</v>
      </c>
      <c r="E1115" s="65" t="s">
        <v>133</v>
      </c>
    </row>
    <row r="1116" spans="1:5" x14ac:dyDescent="0.45">
      <c r="A1116">
        <v>20220612</v>
      </c>
      <c r="B1116" s="65" t="s">
        <v>133</v>
      </c>
      <c r="C1116" s="65" t="s">
        <v>130</v>
      </c>
      <c r="D1116" s="65" t="s">
        <v>134</v>
      </c>
      <c r="E1116" s="65" t="s">
        <v>133</v>
      </c>
    </row>
    <row r="1117" spans="1:5" x14ac:dyDescent="0.45">
      <c r="A1117">
        <v>20220618</v>
      </c>
      <c r="B1117" s="65" t="s">
        <v>133</v>
      </c>
      <c r="C1117" s="65" t="s">
        <v>130</v>
      </c>
      <c r="D1117" s="65" t="s">
        <v>134</v>
      </c>
      <c r="E1117" s="65" t="s">
        <v>133</v>
      </c>
    </row>
    <row r="1118" spans="1:5" x14ac:dyDescent="0.45">
      <c r="A1118">
        <v>20220619</v>
      </c>
      <c r="B1118" s="65" t="s">
        <v>133</v>
      </c>
      <c r="C1118" s="65" t="s">
        <v>130</v>
      </c>
      <c r="D1118" s="65" t="s">
        <v>134</v>
      </c>
      <c r="E1118" s="65" t="s">
        <v>133</v>
      </c>
    </row>
    <row r="1119" spans="1:5" x14ac:dyDescent="0.45">
      <c r="A1119">
        <v>20220625</v>
      </c>
      <c r="B1119" s="65" t="s">
        <v>133</v>
      </c>
      <c r="C1119" s="65" t="s">
        <v>130</v>
      </c>
      <c r="D1119" s="65" t="s">
        <v>134</v>
      </c>
      <c r="E1119" s="65" t="s">
        <v>133</v>
      </c>
    </row>
    <row r="1120" spans="1:5" x14ac:dyDescent="0.45">
      <c r="A1120">
        <v>20220626</v>
      </c>
      <c r="B1120" s="65" t="s">
        <v>133</v>
      </c>
      <c r="C1120" s="65" t="s">
        <v>130</v>
      </c>
      <c r="D1120" s="65" t="s">
        <v>134</v>
      </c>
      <c r="E1120" s="65" t="s">
        <v>133</v>
      </c>
    </row>
    <row r="1121" spans="1:5" x14ac:dyDescent="0.45">
      <c r="A1121">
        <v>20220702</v>
      </c>
      <c r="B1121" s="65" t="s">
        <v>133</v>
      </c>
      <c r="C1121" s="65" t="s">
        <v>130</v>
      </c>
      <c r="D1121" s="65" t="s">
        <v>134</v>
      </c>
      <c r="E1121" s="65" t="s">
        <v>133</v>
      </c>
    </row>
    <row r="1122" spans="1:5" x14ac:dyDescent="0.45">
      <c r="A1122">
        <v>20220703</v>
      </c>
      <c r="B1122" s="65" t="s">
        <v>133</v>
      </c>
      <c r="C1122" s="65" t="s">
        <v>130</v>
      </c>
      <c r="D1122" s="65" t="s">
        <v>134</v>
      </c>
      <c r="E1122" s="65" t="s">
        <v>133</v>
      </c>
    </row>
    <row r="1123" spans="1:5" x14ac:dyDescent="0.45">
      <c r="A1123">
        <v>20220709</v>
      </c>
      <c r="B1123" s="65" t="s">
        <v>133</v>
      </c>
      <c r="C1123" s="65" t="s">
        <v>130</v>
      </c>
      <c r="D1123" s="65" t="s">
        <v>134</v>
      </c>
      <c r="E1123" s="65" t="s">
        <v>133</v>
      </c>
    </row>
    <row r="1124" spans="1:5" x14ac:dyDescent="0.45">
      <c r="A1124">
        <v>20220710</v>
      </c>
      <c r="B1124" s="65" t="s">
        <v>133</v>
      </c>
      <c r="C1124" s="65" t="s">
        <v>130</v>
      </c>
      <c r="D1124" s="65" t="s">
        <v>134</v>
      </c>
      <c r="E1124" s="65" t="s">
        <v>133</v>
      </c>
    </row>
    <row r="1125" spans="1:5" x14ac:dyDescent="0.45">
      <c r="A1125">
        <v>20220716</v>
      </c>
      <c r="B1125" s="65" t="s">
        <v>133</v>
      </c>
      <c r="C1125" s="65" t="s">
        <v>130</v>
      </c>
      <c r="D1125" s="65" t="s">
        <v>134</v>
      </c>
      <c r="E1125" s="65" t="s">
        <v>133</v>
      </c>
    </row>
    <row r="1126" spans="1:5" x14ac:dyDescent="0.45">
      <c r="A1126">
        <v>20220717</v>
      </c>
      <c r="B1126" s="65" t="s">
        <v>133</v>
      </c>
      <c r="C1126" s="65" t="s">
        <v>130</v>
      </c>
      <c r="D1126" s="65" t="s">
        <v>134</v>
      </c>
      <c r="E1126" s="65" t="s">
        <v>133</v>
      </c>
    </row>
    <row r="1127" spans="1:5" x14ac:dyDescent="0.45">
      <c r="A1127">
        <v>20220723</v>
      </c>
      <c r="B1127" s="65" t="s">
        <v>133</v>
      </c>
      <c r="C1127" s="65" t="s">
        <v>130</v>
      </c>
      <c r="D1127" s="65" t="s">
        <v>134</v>
      </c>
      <c r="E1127" s="65" t="s">
        <v>133</v>
      </c>
    </row>
    <row r="1128" spans="1:5" x14ac:dyDescent="0.45">
      <c r="A1128">
        <v>20220724</v>
      </c>
      <c r="B1128" s="65" t="s">
        <v>133</v>
      </c>
      <c r="C1128" s="65" t="s">
        <v>130</v>
      </c>
      <c r="D1128" s="65" t="s">
        <v>134</v>
      </c>
      <c r="E1128" s="65" t="s">
        <v>133</v>
      </c>
    </row>
    <row r="1129" spans="1:5" x14ac:dyDescent="0.45">
      <c r="A1129">
        <v>20220730</v>
      </c>
      <c r="B1129" s="65" t="s">
        <v>133</v>
      </c>
      <c r="C1129" s="65" t="s">
        <v>130</v>
      </c>
      <c r="D1129" s="65" t="s">
        <v>134</v>
      </c>
      <c r="E1129" s="65" t="s">
        <v>133</v>
      </c>
    </row>
    <row r="1130" spans="1:5" x14ac:dyDescent="0.45">
      <c r="A1130">
        <v>20220731</v>
      </c>
      <c r="B1130" s="65" t="s">
        <v>133</v>
      </c>
      <c r="C1130" s="65" t="s">
        <v>130</v>
      </c>
      <c r="D1130" s="65" t="s">
        <v>134</v>
      </c>
      <c r="E1130" s="65" t="s">
        <v>133</v>
      </c>
    </row>
    <row r="1131" spans="1:5" x14ac:dyDescent="0.45">
      <c r="A1131">
        <v>20220806</v>
      </c>
      <c r="B1131" s="65" t="s">
        <v>133</v>
      </c>
      <c r="C1131" s="65" t="s">
        <v>130</v>
      </c>
      <c r="D1131" s="65" t="s">
        <v>134</v>
      </c>
      <c r="E1131" s="65" t="s">
        <v>133</v>
      </c>
    </row>
    <row r="1132" spans="1:5" x14ac:dyDescent="0.45">
      <c r="A1132">
        <v>20220807</v>
      </c>
      <c r="B1132" s="65" t="s">
        <v>133</v>
      </c>
      <c r="C1132" s="65" t="s">
        <v>130</v>
      </c>
      <c r="D1132" s="65" t="s">
        <v>134</v>
      </c>
      <c r="E1132" s="65" t="s">
        <v>133</v>
      </c>
    </row>
    <row r="1133" spans="1:5" x14ac:dyDescent="0.45">
      <c r="A1133">
        <v>20220813</v>
      </c>
      <c r="B1133" s="65" t="s">
        <v>133</v>
      </c>
      <c r="C1133" s="65" t="s">
        <v>130</v>
      </c>
      <c r="D1133" s="65" t="s">
        <v>134</v>
      </c>
      <c r="E1133" s="65" t="s">
        <v>133</v>
      </c>
    </row>
    <row r="1134" spans="1:5" x14ac:dyDescent="0.45">
      <c r="A1134">
        <v>20220814</v>
      </c>
      <c r="B1134" s="65" t="s">
        <v>133</v>
      </c>
      <c r="C1134" s="65" t="s">
        <v>130</v>
      </c>
      <c r="D1134" s="65" t="s">
        <v>134</v>
      </c>
      <c r="E1134" s="65" t="s">
        <v>133</v>
      </c>
    </row>
    <row r="1135" spans="1:5" x14ac:dyDescent="0.45">
      <c r="A1135">
        <v>20220820</v>
      </c>
      <c r="B1135" s="65" t="s">
        <v>133</v>
      </c>
      <c r="C1135" s="65" t="s">
        <v>130</v>
      </c>
      <c r="D1135" s="65" t="s">
        <v>134</v>
      </c>
      <c r="E1135" s="65" t="s">
        <v>133</v>
      </c>
    </row>
    <row r="1136" spans="1:5" x14ac:dyDescent="0.45">
      <c r="A1136">
        <v>20220821</v>
      </c>
      <c r="B1136" s="65" t="s">
        <v>133</v>
      </c>
      <c r="C1136" s="65" t="s">
        <v>130</v>
      </c>
      <c r="D1136" s="65" t="s">
        <v>134</v>
      </c>
      <c r="E1136" s="65" t="s">
        <v>133</v>
      </c>
    </row>
    <row r="1137" spans="1:5" x14ac:dyDescent="0.45">
      <c r="A1137">
        <v>20220827</v>
      </c>
      <c r="B1137" s="65" t="s">
        <v>133</v>
      </c>
      <c r="C1137" s="65" t="s">
        <v>130</v>
      </c>
      <c r="D1137" s="65" t="s">
        <v>134</v>
      </c>
      <c r="E1137" s="65" t="s">
        <v>133</v>
      </c>
    </row>
    <row r="1138" spans="1:5" x14ac:dyDescent="0.45">
      <c r="A1138">
        <v>20220828</v>
      </c>
      <c r="B1138" s="65" t="s">
        <v>133</v>
      </c>
      <c r="C1138" s="65" t="s">
        <v>130</v>
      </c>
      <c r="D1138" s="65" t="s">
        <v>134</v>
      </c>
      <c r="E1138" s="65" t="s">
        <v>133</v>
      </c>
    </row>
    <row r="1139" spans="1:5" x14ac:dyDescent="0.45">
      <c r="A1139">
        <v>20220904</v>
      </c>
      <c r="B1139" s="65" t="s">
        <v>133</v>
      </c>
      <c r="C1139" s="65" t="s">
        <v>130</v>
      </c>
      <c r="D1139" s="65" t="s">
        <v>134</v>
      </c>
      <c r="E1139" s="65" t="s">
        <v>133</v>
      </c>
    </row>
    <row r="1140" spans="1:5" x14ac:dyDescent="0.45">
      <c r="A1140">
        <v>20220909</v>
      </c>
      <c r="B1140" s="65" t="s">
        <v>133</v>
      </c>
      <c r="C1140" s="65" t="s">
        <v>130</v>
      </c>
      <c r="D1140" s="65" t="s">
        <v>139</v>
      </c>
      <c r="E1140" s="65" t="s">
        <v>133</v>
      </c>
    </row>
    <row r="1141" spans="1:5" x14ac:dyDescent="0.45">
      <c r="A1141">
        <v>20220910</v>
      </c>
      <c r="B1141" s="65" t="s">
        <v>154</v>
      </c>
      <c r="C1141" s="65" t="s">
        <v>130</v>
      </c>
      <c r="D1141" s="65" t="s">
        <v>131</v>
      </c>
      <c r="E1141" s="65" t="s">
        <v>205</v>
      </c>
    </row>
    <row r="1142" spans="1:5" x14ac:dyDescent="0.45">
      <c r="A1142">
        <v>20220911</v>
      </c>
      <c r="B1142" s="65" t="s">
        <v>133</v>
      </c>
      <c r="C1142" s="65" t="s">
        <v>130</v>
      </c>
      <c r="D1142" s="65" t="s">
        <v>134</v>
      </c>
      <c r="E1142" s="65" t="s">
        <v>133</v>
      </c>
    </row>
    <row r="1143" spans="1:5" x14ac:dyDescent="0.45">
      <c r="A1143">
        <v>20220917</v>
      </c>
      <c r="B1143" s="65" t="s">
        <v>133</v>
      </c>
      <c r="C1143" s="65" t="s">
        <v>130</v>
      </c>
      <c r="D1143" s="65" t="s">
        <v>134</v>
      </c>
      <c r="E1143" s="65" t="s">
        <v>133</v>
      </c>
    </row>
    <row r="1144" spans="1:5" x14ac:dyDescent="0.45">
      <c r="A1144">
        <v>20220918</v>
      </c>
      <c r="B1144" s="65" t="s">
        <v>133</v>
      </c>
      <c r="C1144" s="65" t="s">
        <v>130</v>
      </c>
      <c r="D1144" s="65" t="s">
        <v>134</v>
      </c>
      <c r="E1144" s="65" t="s">
        <v>133</v>
      </c>
    </row>
    <row r="1145" spans="1:5" x14ac:dyDescent="0.45">
      <c r="A1145">
        <v>20220924</v>
      </c>
      <c r="B1145" s="65" t="s">
        <v>133</v>
      </c>
      <c r="C1145" s="65" t="s">
        <v>130</v>
      </c>
      <c r="D1145" s="65" t="s">
        <v>134</v>
      </c>
      <c r="E1145" s="65" t="s">
        <v>133</v>
      </c>
    </row>
    <row r="1146" spans="1:5" x14ac:dyDescent="0.45">
      <c r="A1146">
        <v>20220925</v>
      </c>
      <c r="B1146" s="65" t="s">
        <v>133</v>
      </c>
      <c r="C1146" s="65" t="s">
        <v>130</v>
      </c>
      <c r="D1146" s="65" t="s">
        <v>134</v>
      </c>
      <c r="E1146" s="65" t="s">
        <v>133</v>
      </c>
    </row>
    <row r="1147" spans="1:5" x14ac:dyDescent="0.45">
      <c r="A1147">
        <v>20221001</v>
      </c>
      <c r="B1147" s="65" t="s">
        <v>133</v>
      </c>
      <c r="C1147" s="65" t="s">
        <v>130</v>
      </c>
      <c r="D1147" s="65" t="s">
        <v>134</v>
      </c>
      <c r="E1147" s="65" t="s">
        <v>133</v>
      </c>
    </row>
    <row r="1148" spans="1:5" x14ac:dyDescent="0.45">
      <c r="A1148">
        <v>20221002</v>
      </c>
      <c r="B1148" s="65" t="s">
        <v>133</v>
      </c>
      <c r="C1148" s="65" t="s">
        <v>130</v>
      </c>
      <c r="D1148" s="65" t="s">
        <v>134</v>
      </c>
      <c r="E1148" s="65" t="s">
        <v>133</v>
      </c>
    </row>
    <row r="1149" spans="1:5" x14ac:dyDescent="0.45">
      <c r="A1149">
        <v>20221008</v>
      </c>
      <c r="B1149" s="65" t="s">
        <v>133</v>
      </c>
      <c r="C1149" s="65" t="s">
        <v>130</v>
      </c>
      <c r="D1149" s="65" t="s">
        <v>134</v>
      </c>
      <c r="E1149" s="65" t="s">
        <v>133</v>
      </c>
    </row>
    <row r="1150" spans="1:5" x14ac:dyDescent="0.45">
      <c r="A1150">
        <v>20221009</v>
      </c>
      <c r="B1150" s="65" t="s">
        <v>133</v>
      </c>
      <c r="C1150" s="65" t="s">
        <v>130</v>
      </c>
      <c r="D1150" s="65" t="s">
        <v>134</v>
      </c>
      <c r="E1150" s="65" t="s">
        <v>133</v>
      </c>
    </row>
    <row r="1151" spans="1:5" x14ac:dyDescent="0.45">
      <c r="A1151">
        <v>20221010</v>
      </c>
      <c r="B1151" s="65" t="s">
        <v>158</v>
      </c>
      <c r="C1151" s="65" t="s">
        <v>130</v>
      </c>
      <c r="D1151" s="65" t="s">
        <v>131</v>
      </c>
      <c r="E1151" s="65" t="s">
        <v>132</v>
      </c>
    </row>
    <row r="1152" spans="1:5" x14ac:dyDescent="0.45">
      <c r="A1152">
        <v>20221015</v>
      </c>
      <c r="B1152" s="65" t="s">
        <v>133</v>
      </c>
      <c r="C1152" s="65" t="s">
        <v>130</v>
      </c>
      <c r="D1152" s="65" t="s">
        <v>134</v>
      </c>
      <c r="E1152" s="65" t="s">
        <v>133</v>
      </c>
    </row>
    <row r="1153" spans="1:5" x14ac:dyDescent="0.45">
      <c r="A1153">
        <v>20221016</v>
      </c>
      <c r="B1153" s="65" t="s">
        <v>133</v>
      </c>
      <c r="C1153" s="65" t="s">
        <v>130</v>
      </c>
      <c r="D1153" s="65" t="s">
        <v>134</v>
      </c>
      <c r="E1153" s="65" t="s">
        <v>133</v>
      </c>
    </row>
    <row r="1154" spans="1:5" x14ac:dyDescent="0.45">
      <c r="A1154">
        <v>20221022</v>
      </c>
      <c r="B1154" s="65" t="s">
        <v>133</v>
      </c>
      <c r="C1154" s="65" t="s">
        <v>130</v>
      </c>
      <c r="D1154" s="65" t="s">
        <v>134</v>
      </c>
      <c r="E1154" s="65" t="s">
        <v>133</v>
      </c>
    </row>
    <row r="1155" spans="1:5" x14ac:dyDescent="0.45">
      <c r="A1155">
        <v>20221023</v>
      </c>
      <c r="B1155" s="65" t="s">
        <v>133</v>
      </c>
      <c r="C1155" s="65" t="s">
        <v>130</v>
      </c>
      <c r="D1155" s="65" t="s">
        <v>134</v>
      </c>
      <c r="E1155" s="65" t="s">
        <v>133</v>
      </c>
    </row>
    <row r="1156" spans="1:5" x14ac:dyDescent="0.45">
      <c r="A1156">
        <v>20221029</v>
      </c>
      <c r="B1156" s="65" t="s">
        <v>133</v>
      </c>
      <c r="C1156" s="65" t="s">
        <v>130</v>
      </c>
      <c r="D1156" s="65" t="s">
        <v>134</v>
      </c>
      <c r="E1156" s="65" t="s">
        <v>133</v>
      </c>
    </row>
    <row r="1157" spans="1:5" x14ac:dyDescent="0.45">
      <c r="A1157">
        <v>20221030</v>
      </c>
      <c r="B1157" s="65" t="s">
        <v>133</v>
      </c>
      <c r="C1157" s="65" t="s">
        <v>130</v>
      </c>
      <c r="D1157" s="65" t="s">
        <v>134</v>
      </c>
      <c r="E1157" s="65" t="s">
        <v>133</v>
      </c>
    </row>
    <row r="1158" spans="1:5" x14ac:dyDescent="0.45">
      <c r="A1158">
        <v>20221105</v>
      </c>
      <c r="B1158" s="65" t="s">
        <v>133</v>
      </c>
      <c r="C1158" s="65" t="s">
        <v>130</v>
      </c>
      <c r="D1158" s="65" t="s">
        <v>134</v>
      </c>
      <c r="E1158" s="65" t="s">
        <v>133</v>
      </c>
    </row>
    <row r="1159" spans="1:5" x14ac:dyDescent="0.45">
      <c r="A1159">
        <v>20221106</v>
      </c>
      <c r="B1159" s="65" t="s">
        <v>133</v>
      </c>
      <c r="C1159" s="65" t="s">
        <v>130</v>
      </c>
      <c r="D1159" s="65" t="s">
        <v>134</v>
      </c>
      <c r="E1159" s="65" t="s">
        <v>133</v>
      </c>
    </row>
    <row r="1160" spans="1:5" x14ac:dyDescent="0.45">
      <c r="A1160">
        <v>20221112</v>
      </c>
      <c r="B1160" s="65" t="s">
        <v>133</v>
      </c>
      <c r="C1160" s="65" t="s">
        <v>130</v>
      </c>
      <c r="D1160" s="65" t="s">
        <v>134</v>
      </c>
      <c r="E1160" s="65" t="s">
        <v>133</v>
      </c>
    </row>
    <row r="1161" spans="1:5" x14ac:dyDescent="0.45">
      <c r="A1161">
        <v>20221113</v>
      </c>
      <c r="B1161" s="65" t="s">
        <v>133</v>
      </c>
      <c r="C1161" s="65" t="s">
        <v>130</v>
      </c>
      <c r="D1161" s="65" t="s">
        <v>134</v>
      </c>
      <c r="E1161" s="65" t="s">
        <v>133</v>
      </c>
    </row>
    <row r="1162" spans="1:5" x14ac:dyDescent="0.45">
      <c r="A1162">
        <v>20221119</v>
      </c>
      <c r="B1162" s="65" t="s">
        <v>133</v>
      </c>
      <c r="C1162" s="65" t="s">
        <v>130</v>
      </c>
      <c r="D1162" s="65" t="s">
        <v>134</v>
      </c>
      <c r="E1162" s="65" t="s">
        <v>133</v>
      </c>
    </row>
    <row r="1163" spans="1:5" x14ac:dyDescent="0.45">
      <c r="A1163">
        <v>20221120</v>
      </c>
      <c r="B1163" s="65" t="s">
        <v>133</v>
      </c>
      <c r="C1163" s="65" t="s">
        <v>130</v>
      </c>
      <c r="D1163" s="65" t="s">
        <v>134</v>
      </c>
      <c r="E1163" s="65" t="s">
        <v>133</v>
      </c>
    </row>
    <row r="1164" spans="1:5" x14ac:dyDescent="0.45">
      <c r="A1164">
        <v>20221126</v>
      </c>
      <c r="B1164" s="65" t="s">
        <v>133</v>
      </c>
      <c r="C1164" s="65" t="s">
        <v>130</v>
      </c>
      <c r="D1164" s="65" t="s">
        <v>134</v>
      </c>
      <c r="E1164" s="65" t="s">
        <v>133</v>
      </c>
    </row>
    <row r="1165" spans="1:5" x14ac:dyDescent="0.45">
      <c r="A1165">
        <v>20221127</v>
      </c>
      <c r="B1165" s="65" t="s">
        <v>133</v>
      </c>
      <c r="C1165" s="65" t="s">
        <v>130</v>
      </c>
      <c r="D1165" s="65" t="s">
        <v>134</v>
      </c>
      <c r="E1165" s="65" t="s">
        <v>133</v>
      </c>
    </row>
    <row r="1166" spans="1:5" x14ac:dyDescent="0.45">
      <c r="A1166">
        <v>20221203</v>
      </c>
      <c r="B1166" s="65" t="s">
        <v>133</v>
      </c>
      <c r="C1166" s="65" t="s">
        <v>130</v>
      </c>
      <c r="D1166" s="65" t="s">
        <v>134</v>
      </c>
      <c r="E1166" s="65" t="s">
        <v>133</v>
      </c>
    </row>
    <row r="1167" spans="1:5" x14ac:dyDescent="0.45">
      <c r="A1167">
        <v>20221204</v>
      </c>
      <c r="B1167" s="65" t="s">
        <v>133</v>
      </c>
      <c r="C1167" s="65" t="s">
        <v>130</v>
      </c>
      <c r="D1167" s="65" t="s">
        <v>134</v>
      </c>
      <c r="E1167" s="65" t="s">
        <v>133</v>
      </c>
    </row>
    <row r="1168" spans="1:5" x14ac:dyDescent="0.45">
      <c r="A1168">
        <v>20221210</v>
      </c>
      <c r="B1168" s="65" t="s">
        <v>133</v>
      </c>
      <c r="C1168" s="65" t="s">
        <v>130</v>
      </c>
      <c r="D1168" s="65" t="s">
        <v>134</v>
      </c>
      <c r="E1168" s="65" t="s">
        <v>133</v>
      </c>
    </row>
    <row r="1169" spans="1:5" x14ac:dyDescent="0.45">
      <c r="A1169">
        <v>20221211</v>
      </c>
      <c r="B1169" s="65" t="s">
        <v>133</v>
      </c>
      <c r="C1169" s="65" t="s">
        <v>130</v>
      </c>
      <c r="D1169" s="65" t="s">
        <v>134</v>
      </c>
      <c r="E1169" s="65" t="s">
        <v>133</v>
      </c>
    </row>
    <row r="1170" spans="1:5" x14ac:dyDescent="0.45">
      <c r="A1170">
        <v>20221217</v>
      </c>
      <c r="B1170" s="65" t="s">
        <v>133</v>
      </c>
      <c r="C1170" s="65" t="s">
        <v>130</v>
      </c>
      <c r="D1170" s="65" t="s">
        <v>134</v>
      </c>
      <c r="E1170" s="65" t="s">
        <v>133</v>
      </c>
    </row>
    <row r="1171" spans="1:5" x14ac:dyDescent="0.45">
      <c r="A1171">
        <v>20221218</v>
      </c>
      <c r="B1171" s="65" t="s">
        <v>133</v>
      </c>
      <c r="C1171" s="65" t="s">
        <v>130</v>
      </c>
      <c r="D1171" s="65" t="s">
        <v>134</v>
      </c>
      <c r="E1171" s="65" t="s">
        <v>133</v>
      </c>
    </row>
    <row r="1172" spans="1:5" x14ac:dyDescent="0.45">
      <c r="A1172">
        <v>20221224</v>
      </c>
      <c r="B1172" s="65" t="s">
        <v>133</v>
      </c>
      <c r="C1172" s="65" t="s">
        <v>130</v>
      </c>
      <c r="D1172" s="65" t="s">
        <v>134</v>
      </c>
      <c r="E1172" s="65" t="s">
        <v>133</v>
      </c>
    </row>
    <row r="1173" spans="1:5" x14ac:dyDescent="0.45">
      <c r="A1173">
        <v>20221225</v>
      </c>
      <c r="B1173" s="65" t="s">
        <v>133</v>
      </c>
      <c r="C1173" s="65" t="s">
        <v>130</v>
      </c>
      <c r="D1173" s="65" t="s">
        <v>134</v>
      </c>
      <c r="E1173" s="65" t="s">
        <v>133</v>
      </c>
    </row>
    <row r="1174" spans="1:5" x14ac:dyDescent="0.45">
      <c r="A1174">
        <v>20221231</v>
      </c>
      <c r="B1174" s="65" t="s">
        <v>133</v>
      </c>
      <c r="C1174" s="65" t="s">
        <v>130</v>
      </c>
      <c r="D1174" s="65" t="s">
        <v>134</v>
      </c>
      <c r="E1174" s="65" t="s">
        <v>133</v>
      </c>
    </row>
    <row r="1175" spans="1:5" x14ac:dyDescent="0.45">
      <c r="A1175">
        <v>20230101</v>
      </c>
      <c r="B1175" s="65" t="s">
        <v>129</v>
      </c>
      <c r="C1175" s="65" t="s">
        <v>130</v>
      </c>
      <c r="D1175" s="65" t="s">
        <v>131</v>
      </c>
      <c r="E1175" s="65" t="s">
        <v>180</v>
      </c>
    </row>
    <row r="1176" spans="1:5" x14ac:dyDescent="0.45">
      <c r="A1176">
        <v>20230102</v>
      </c>
      <c r="B1176" s="65" t="s">
        <v>133</v>
      </c>
      <c r="C1176" s="65" t="s">
        <v>130</v>
      </c>
      <c r="D1176" s="65" t="s">
        <v>139</v>
      </c>
      <c r="E1176" s="65" t="s">
        <v>133</v>
      </c>
    </row>
    <row r="1177" spans="1:5" x14ac:dyDescent="0.45">
      <c r="A1177">
        <v>20230107</v>
      </c>
      <c r="B1177" s="65" t="s">
        <v>133</v>
      </c>
      <c r="C1177" s="65" t="s">
        <v>142</v>
      </c>
      <c r="D1177" s="65" t="s">
        <v>143</v>
      </c>
      <c r="E1177" s="65" t="s">
        <v>133</v>
      </c>
    </row>
    <row r="1178" spans="1:5" x14ac:dyDescent="0.45">
      <c r="A1178">
        <v>20230108</v>
      </c>
      <c r="B1178" s="65" t="s">
        <v>133</v>
      </c>
      <c r="C1178" s="65" t="s">
        <v>130</v>
      </c>
      <c r="D1178" s="65" t="s">
        <v>134</v>
      </c>
      <c r="E1178" s="65" t="s">
        <v>133</v>
      </c>
    </row>
    <row r="1179" spans="1:5" x14ac:dyDescent="0.45">
      <c r="A1179">
        <v>20230114</v>
      </c>
      <c r="B1179" s="65" t="s">
        <v>133</v>
      </c>
      <c r="C1179" s="65" t="s">
        <v>130</v>
      </c>
      <c r="D1179" s="65" t="s">
        <v>134</v>
      </c>
      <c r="E1179" s="65" t="s">
        <v>133</v>
      </c>
    </row>
    <row r="1180" spans="1:5" x14ac:dyDescent="0.45">
      <c r="A1180">
        <v>20230115</v>
      </c>
      <c r="B1180" s="65" t="s">
        <v>133</v>
      </c>
      <c r="C1180" s="65" t="s">
        <v>130</v>
      </c>
      <c r="D1180" s="65" t="s">
        <v>134</v>
      </c>
      <c r="E1180" s="65" t="s">
        <v>133</v>
      </c>
    </row>
    <row r="1181" spans="1:5" x14ac:dyDescent="0.45">
      <c r="A1181">
        <v>20230120</v>
      </c>
      <c r="B1181" s="65" t="s">
        <v>133</v>
      </c>
      <c r="C1181" s="65" t="s">
        <v>130</v>
      </c>
      <c r="D1181" s="65" t="s">
        <v>140</v>
      </c>
      <c r="E1181" s="65" t="s">
        <v>133</v>
      </c>
    </row>
    <row r="1182" spans="1:5" x14ac:dyDescent="0.45">
      <c r="A1182">
        <v>20230121</v>
      </c>
      <c r="B1182" s="65" t="s">
        <v>135</v>
      </c>
      <c r="C1182" s="65" t="s">
        <v>130</v>
      </c>
      <c r="D1182" s="65" t="s">
        <v>131</v>
      </c>
      <c r="E1182" s="65" t="s">
        <v>206</v>
      </c>
    </row>
    <row r="1183" spans="1:5" x14ac:dyDescent="0.45">
      <c r="A1183">
        <v>20230122</v>
      </c>
      <c r="B1183" s="65" t="s">
        <v>137</v>
      </c>
      <c r="C1183" s="65" t="s">
        <v>130</v>
      </c>
      <c r="D1183" s="65" t="s">
        <v>131</v>
      </c>
      <c r="E1183" s="65" t="s">
        <v>207</v>
      </c>
    </row>
    <row r="1184" spans="1:5" x14ac:dyDescent="0.45">
      <c r="A1184">
        <v>20230123</v>
      </c>
      <c r="B1184" s="65" t="s">
        <v>137</v>
      </c>
      <c r="C1184" s="65" t="s">
        <v>130</v>
      </c>
      <c r="D1184" s="65" t="s">
        <v>131</v>
      </c>
      <c r="E1184" s="65" t="s">
        <v>133</v>
      </c>
    </row>
    <row r="1185" spans="1:5" x14ac:dyDescent="0.45">
      <c r="A1185">
        <v>20230124</v>
      </c>
      <c r="B1185" s="65" t="s">
        <v>137</v>
      </c>
      <c r="C1185" s="65" t="s">
        <v>130</v>
      </c>
      <c r="D1185" s="65" t="s">
        <v>131</v>
      </c>
      <c r="E1185" s="65" t="s">
        <v>133</v>
      </c>
    </row>
    <row r="1186" spans="1:5" x14ac:dyDescent="0.45">
      <c r="A1186">
        <v>20230125</v>
      </c>
      <c r="B1186" s="65" t="s">
        <v>133</v>
      </c>
      <c r="C1186" s="65" t="s">
        <v>130</v>
      </c>
      <c r="D1186" s="65" t="s">
        <v>139</v>
      </c>
      <c r="E1186" s="65" t="s">
        <v>133</v>
      </c>
    </row>
    <row r="1187" spans="1:5" x14ac:dyDescent="0.45">
      <c r="A1187">
        <v>20230126</v>
      </c>
      <c r="B1187" s="65" t="s">
        <v>133</v>
      </c>
      <c r="C1187" s="65" t="s">
        <v>130</v>
      </c>
      <c r="D1187" s="65" t="s">
        <v>139</v>
      </c>
      <c r="E1187" s="65" t="s">
        <v>133</v>
      </c>
    </row>
    <row r="1188" spans="1:5" x14ac:dyDescent="0.45">
      <c r="A1188">
        <v>20230127</v>
      </c>
      <c r="B1188" s="65" t="s">
        <v>133</v>
      </c>
      <c r="C1188" s="65" t="s">
        <v>130</v>
      </c>
      <c r="D1188" s="65" t="s">
        <v>140</v>
      </c>
      <c r="E1188" s="65" t="s">
        <v>133</v>
      </c>
    </row>
    <row r="1189" spans="1:5" x14ac:dyDescent="0.45">
      <c r="A1189">
        <v>20230128</v>
      </c>
      <c r="B1189" s="65" t="s">
        <v>133</v>
      </c>
      <c r="C1189" s="65" t="s">
        <v>130</v>
      </c>
      <c r="D1189" s="65" t="s">
        <v>134</v>
      </c>
      <c r="E1189" s="65" t="s">
        <v>133</v>
      </c>
    </row>
    <row r="1190" spans="1:5" x14ac:dyDescent="0.45">
      <c r="A1190">
        <v>20230129</v>
      </c>
      <c r="B1190" s="65" t="s">
        <v>133</v>
      </c>
      <c r="C1190" s="65" t="s">
        <v>130</v>
      </c>
      <c r="D1190" s="65" t="s">
        <v>134</v>
      </c>
      <c r="E1190" s="65" t="s">
        <v>133</v>
      </c>
    </row>
    <row r="1191" spans="1:5" x14ac:dyDescent="0.45">
      <c r="A1191">
        <v>20230204</v>
      </c>
      <c r="B1191" s="65" t="s">
        <v>133</v>
      </c>
      <c r="C1191" s="65" t="s">
        <v>142</v>
      </c>
      <c r="D1191" s="65" t="s">
        <v>143</v>
      </c>
      <c r="E1191" s="65" t="s">
        <v>133</v>
      </c>
    </row>
    <row r="1192" spans="1:5" x14ac:dyDescent="0.45">
      <c r="A1192">
        <v>20230205</v>
      </c>
      <c r="B1192" s="65" t="s">
        <v>133</v>
      </c>
      <c r="C1192" s="65" t="s">
        <v>130</v>
      </c>
      <c r="D1192" s="65" t="s">
        <v>134</v>
      </c>
      <c r="E1192" s="65" t="s">
        <v>133</v>
      </c>
    </row>
    <row r="1193" spans="1:5" x14ac:dyDescent="0.45">
      <c r="A1193">
        <v>20230211</v>
      </c>
      <c r="B1193" s="65" t="s">
        <v>133</v>
      </c>
      <c r="C1193" s="65" t="s">
        <v>130</v>
      </c>
      <c r="D1193" s="65" t="s">
        <v>134</v>
      </c>
      <c r="E1193" s="65" t="s">
        <v>133</v>
      </c>
    </row>
    <row r="1194" spans="1:5" x14ac:dyDescent="0.45">
      <c r="A1194">
        <v>20230212</v>
      </c>
      <c r="B1194" s="65" t="s">
        <v>133</v>
      </c>
      <c r="C1194" s="65" t="s">
        <v>130</v>
      </c>
      <c r="D1194" s="65" t="s">
        <v>134</v>
      </c>
      <c r="E1194" s="65" t="s">
        <v>133</v>
      </c>
    </row>
    <row r="1195" spans="1:5" x14ac:dyDescent="0.45">
      <c r="A1195">
        <v>20230218</v>
      </c>
      <c r="B1195" s="65" t="s">
        <v>133</v>
      </c>
      <c r="C1195" s="65" t="s">
        <v>142</v>
      </c>
      <c r="D1195" s="65" t="s">
        <v>143</v>
      </c>
      <c r="E1195" s="65" t="s">
        <v>133</v>
      </c>
    </row>
    <row r="1196" spans="1:5" x14ac:dyDescent="0.45">
      <c r="A1196">
        <v>20230219</v>
      </c>
      <c r="B1196" s="65" t="s">
        <v>133</v>
      </c>
      <c r="C1196" s="65" t="s">
        <v>130</v>
      </c>
      <c r="D1196" s="65" t="s">
        <v>134</v>
      </c>
      <c r="E1196" s="65" t="s">
        <v>133</v>
      </c>
    </row>
    <row r="1197" spans="1:5" x14ac:dyDescent="0.45">
      <c r="A1197">
        <v>20230225</v>
      </c>
      <c r="B1197" s="65" t="s">
        <v>133</v>
      </c>
      <c r="C1197" s="65" t="s">
        <v>130</v>
      </c>
      <c r="D1197" s="65" t="s">
        <v>134</v>
      </c>
      <c r="E1197" s="65" t="s">
        <v>133</v>
      </c>
    </row>
    <row r="1198" spans="1:5" x14ac:dyDescent="0.45">
      <c r="A1198">
        <v>20230226</v>
      </c>
      <c r="B1198" s="65" t="s">
        <v>133</v>
      </c>
      <c r="C1198" s="65" t="s">
        <v>130</v>
      </c>
      <c r="D1198" s="65" t="s">
        <v>134</v>
      </c>
      <c r="E1198" s="65" t="s">
        <v>133</v>
      </c>
    </row>
    <row r="1199" spans="1:5" x14ac:dyDescent="0.45">
      <c r="A1199">
        <v>20230227</v>
      </c>
      <c r="B1199" s="65" t="s">
        <v>133</v>
      </c>
      <c r="C1199" s="65" t="s">
        <v>130</v>
      </c>
      <c r="D1199" s="65" t="s">
        <v>140</v>
      </c>
      <c r="E1199" s="65" t="s">
        <v>133</v>
      </c>
    </row>
    <row r="1200" spans="1:5" x14ac:dyDescent="0.45">
      <c r="A1200">
        <v>20230228</v>
      </c>
      <c r="B1200" s="65" t="s">
        <v>145</v>
      </c>
      <c r="C1200" s="65" t="s">
        <v>130</v>
      </c>
      <c r="D1200" s="65" t="s">
        <v>131</v>
      </c>
      <c r="E1200" s="65" t="s">
        <v>182</v>
      </c>
    </row>
    <row r="1201" spans="1:5" x14ac:dyDescent="0.45">
      <c r="A1201">
        <v>20230304</v>
      </c>
      <c r="B1201" s="65" t="s">
        <v>133</v>
      </c>
      <c r="C1201" s="65" t="s">
        <v>130</v>
      </c>
      <c r="D1201" s="65" t="s">
        <v>134</v>
      </c>
      <c r="E1201" s="65" t="s">
        <v>133</v>
      </c>
    </row>
    <row r="1202" spans="1:5" x14ac:dyDescent="0.45">
      <c r="A1202">
        <v>20230305</v>
      </c>
      <c r="B1202" s="65" t="s">
        <v>133</v>
      </c>
      <c r="C1202" s="65" t="s">
        <v>130</v>
      </c>
      <c r="D1202" s="65" t="s">
        <v>134</v>
      </c>
      <c r="E1202" s="65" t="s">
        <v>133</v>
      </c>
    </row>
    <row r="1203" spans="1:5" x14ac:dyDescent="0.45">
      <c r="A1203">
        <v>20230311</v>
      </c>
      <c r="B1203" s="65" t="s">
        <v>133</v>
      </c>
      <c r="C1203" s="65" t="s">
        <v>130</v>
      </c>
      <c r="D1203" s="65" t="s">
        <v>134</v>
      </c>
      <c r="E1203" s="65" t="s">
        <v>133</v>
      </c>
    </row>
    <row r="1204" spans="1:5" x14ac:dyDescent="0.45">
      <c r="A1204">
        <v>20230312</v>
      </c>
      <c r="B1204" s="65" t="s">
        <v>133</v>
      </c>
      <c r="C1204" s="65" t="s">
        <v>130</v>
      </c>
      <c r="D1204" s="65" t="s">
        <v>134</v>
      </c>
      <c r="E1204" s="65" t="s">
        <v>133</v>
      </c>
    </row>
    <row r="1205" spans="1:5" x14ac:dyDescent="0.45">
      <c r="A1205">
        <v>20230318</v>
      </c>
      <c r="B1205" s="65" t="s">
        <v>133</v>
      </c>
      <c r="C1205" s="65" t="s">
        <v>130</v>
      </c>
      <c r="D1205" s="65" t="s">
        <v>134</v>
      </c>
      <c r="E1205" s="65" t="s">
        <v>133</v>
      </c>
    </row>
    <row r="1206" spans="1:5" x14ac:dyDescent="0.45">
      <c r="A1206">
        <v>20230319</v>
      </c>
      <c r="B1206" s="65" t="s">
        <v>133</v>
      </c>
      <c r="C1206" s="65" t="s">
        <v>130</v>
      </c>
      <c r="D1206" s="65" t="s">
        <v>134</v>
      </c>
      <c r="E1206" s="65" t="s">
        <v>133</v>
      </c>
    </row>
    <row r="1207" spans="1:5" x14ac:dyDescent="0.45">
      <c r="A1207">
        <v>20230325</v>
      </c>
      <c r="B1207" s="65" t="s">
        <v>133</v>
      </c>
      <c r="C1207" s="65" t="s">
        <v>142</v>
      </c>
      <c r="D1207" s="65" t="s">
        <v>143</v>
      </c>
      <c r="E1207" s="65" t="s">
        <v>133</v>
      </c>
    </row>
    <row r="1208" spans="1:5" x14ac:dyDescent="0.45">
      <c r="A1208">
        <v>20230326</v>
      </c>
      <c r="B1208" s="65" t="s">
        <v>133</v>
      </c>
      <c r="C1208" s="65" t="s">
        <v>130</v>
      </c>
      <c r="D1208" s="65" t="s">
        <v>134</v>
      </c>
      <c r="E1208" s="65" t="s">
        <v>133</v>
      </c>
    </row>
    <row r="1209" spans="1:5" x14ac:dyDescent="0.45">
      <c r="A1209">
        <v>20230401</v>
      </c>
      <c r="B1209" s="65" t="s">
        <v>133</v>
      </c>
      <c r="C1209" s="65" t="s">
        <v>130</v>
      </c>
      <c r="D1209" s="65" t="s">
        <v>134</v>
      </c>
      <c r="E1209" s="65" t="s">
        <v>133</v>
      </c>
    </row>
    <row r="1210" spans="1:5" x14ac:dyDescent="0.45">
      <c r="A1210">
        <v>20230402</v>
      </c>
      <c r="B1210" s="65" t="s">
        <v>133</v>
      </c>
      <c r="C1210" s="65" t="s">
        <v>130</v>
      </c>
      <c r="D1210" s="65" t="s">
        <v>134</v>
      </c>
      <c r="E1210" s="65" t="s">
        <v>133</v>
      </c>
    </row>
    <row r="1211" spans="1:5" x14ac:dyDescent="0.45">
      <c r="A1211">
        <v>20230403</v>
      </c>
      <c r="B1211" s="65" t="s">
        <v>133</v>
      </c>
      <c r="C1211" s="65" t="s">
        <v>130</v>
      </c>
      <c r="D1211" s="65" t="s">
        <v>140</v>
      </c>
      <c r="E1211" s="65" t="s">
        <v>133</v>
      </c>
    </row>
    <row r="1212" spans="1:5" x14ac:dyDescent="0.45">
      <c r="A1212">
        <v>20230404</v>
      </c>
      <c r="B1212" s="65" t="s">
        <v>164</v>
      </c>
      <c r="C1212" s="65" t="s">
        <v>130</v>
      </c>
      <c r="D1212" s="65" t="s">
        <v>131</v>
      </c>
      <c r="E1212" s="65" t="s">
        <v>208</v>
      </c>
    </row>
    <row r="1213" spans="1:5" x14ac:dyDescent="0.45">
      <c r="A1213">
        <v>20230405</v>
      </c>
      <c r="B1213" s="65" t="s">
        <v>165</v>
      </c>
      <c r="C1213" s="65" t="s">
        <v>130</v>
      </c>
      <c r="D1213" s="65" t="s">
        <v>131</v>
      </c>
      <c r="E1213" s="65" t="s">
        <v>132</v>
      </c>
    </row>
    <row r="1214" spans="1:5" x14ac:dyDescent="0.45">
      <c r="A1214">
        <v>20230408</v>
      </c>
      <c r="B1214" s="65" t="s">
        <v>133</v>
      </c>
      <c r="C1214" s="65" t="s">
        <v>130</v>
      </c>
      <c r="D1214" s="65" t="s">
        <v>134</v>
      </c>
      <c r="E1214" s="65" t="s">
        <v>133</v>
      </c>
    </row>
    <row r="1215" spans="1:5" x14ac:dyDescent="0.45">
      <c r="A1215">
        <v>20230409</v>
      </c>
      <c r="B1215" s="65" t="s">
        <v>133</v>
      </c>
      <c r="C1215" s="65" t="s">
        <v>130</v>
      </c>
      <c r="D1215" s="65" t="s">
        <v>134</v>
      </c>
      <c r="E1215" s="65" t="s">
        <v>133</v>
      </c>
    </row>
    <row r="1216" spans="1:5" x14ac:dyDescent="0.45">
      <c r="A1216">
        <v>20230415</v>
      </c>
      <c r="B1216" s="65" t="s">
        <v>133</v>
      </c>
      <c r="C1216" s="65" t="s">
        <v>130</v>
      </c>
      <c r="D1216" s="65" t="s">
        <v>134</v>
      </c>
      <c r="E1216" s="65" t="s">
        <v>133</v>
      </c>
    </row>
    <row r="1217" spans="1:5" x14ac:dyDescent="0.45">
      <c r="A1217">
        <v>20230416</v>
      </c>
      <c r="B1217" s="65" t="s">
        <v>133</v>
      </c>
      <c r="C1217" s="65" t="s">
        <v>130</v>
      </c>
      <c r="D1217" s="65" t="s">
        <v>134</v>
      </c>
      <c r="E1217" s="65" t="s">
        <v>133</v>
      </c>
    </row>
    <row r="1218" spans="1:5" x14ac:dyDescent="0.45">
      <c r="A1218">
        <v>20230422</v>
      </c>
      <c r="B1218" s="65" t="s">
        <v>133</v>
      </c>
      <c r="C1218" s="65" t="s">
        <v>130</v>
      </c>
      <c r="D1218" s="65" t="s">
        <v>134</v>
      </c>
      <c r="E1218" s="65" t="s">
        <v>133</v>
      </c>
    </row>
    <row r="1219" spans="1:5" x14ac:dyDescent="0.45">
      <c r="A1219">
        <v>20230423</v>
      </c>
      <c r="B1219" s="65" t="s">
        <v>133</v>
      </c>
      <c r="C1219" s="65" t="s">
        <v>130</v>
      </c>
      <c r="D1219" s="65" t="s">
        <v>134</v>
      </c>
      <c r="E1219" s="65" t="s">
        <v>133</v>
      </c>
    </row>
    <row r="1220" spans="1:5" x14ac:dyDescent="0.45">
      <c r="A1220">
        <v>20230429</v>
      </c>
      <c r="B1220" s="65" t="s">
        <v>133</v>
      </c>
      <c r="C1220" s="65" t="s">
        <v>130</v>
      </c>
      <c r="D1220" s="65" t="s">
        <v>134</v>
      </c>
      <c r="E1220" s="65" t="s">
        <v>133</v>
      </c>
    </row>
    <row r="1221" spans="1:5" x14ac:dyDescent="0.45">
      <c r="A1221">
        <v>20230430</v>
      </c>
      <c r="B1221" s="65" t="s">
        <v>133</v>
      </c>
      <c r="C1221" s="65" t="s">
        <v>130</v>
      </c>
      <c r="D1221" s="65" t="s">
        <v>134</v>
      </c>
      <c r="E1221" s="65" t="s">
        <v>133</v>
      </c>
    </row>
    <row r="1222" spans="1:5" x14ac:dyDescent="0.45">
      <c r="A1222">
        <v>20230506</v>
      </c>
      <c r="B1222" s="65" t="s">
        <v>133</v>
      </c>
      <c r="C1222" s="65" t="s">
        <v>130</v>
      </c>
      <c r="D1222" s="65" t="s">
        <v>134</v>
      </c>
      <c r="E1222" s="65" t="s">
        <v>133</v>
      </c>
    </row>
    <row r="1223" spans="1:5" x14ac:dyDescent="0.45">
      <c r="A1223">
        <v>20230507</v>
      </c>
      <c r="B1223" s="65" t="s">
        <v>133</v>
      </c>
      <c r="C1223" s="65" t="s">
        <v>130</v>
      </c>
      <c r="D1223" s="65" t="s">
        <v>134</v>
      </c>
      <c r="E1223" s="65" t="s">
        <v>133</v>
      </c>
    </row>
    <row r="1224" spans="1:5" x14ac:dyDescent="0.45">
      <c r="A1224">
        <v>20230513</v>
      </c>
      <c r="B1224" s="65" t="s">
        <v>133</v>
      </c>
      <c r="C1224" s="65" t="s">
        <v>130</v>
      </c>
      <c r="D1224" s="65" t="s">
        <v>134</v>
      </c>
      <c r="E1224" s="65" t="s">
        <v>133</v>
      </c>
    </row>
    <row r="1225" spans="1:5" x14ac:dyDescent="0.45">
      <c r="A1225">
        <v>20230514</v>
      </c>
      <c r="B1225" s="65" t="s">
        <v>133</v>
      </c>
      <c r="C1225" s="65" t="s">
        <v>130</v>
      </c>
      <c r="D1225" s="65" t="s">
        <v>134</v>
      </c>
      <c r="E1225" s="65" t="s">
        <v>133</v>
      </c>
    </row>
    <row r="1226" spans="1:5" x14ac:dyDescent="0.45">
      <c r="A1226">
        <v>20230520</v>
      </c>
      <c r="B1226" s="65" t="s">
        <v>133</v>
      </c>
      <c r="C1226" s="65" t="s">
        <v>130</v>
      </c>
      <c r="D1226" s="65" t="s">
        <v>134</v>
      </c>
      <c r="E1226" s="65" t="s">
        <v>133</v>
      </c>
    </row>
    <row r="1227" spans="1:5" x14ac:dyDescent="0.45">
      <c r="A1227">
        <v>20230521</v>
      </c>
      <c r="B1227" s="65" t="s">
        <v>133</v>
      </c>
      <c r="C1227" s="65" t="s">
        <v>130</v>
      </c>
      <c r="D1227" s="65" t="s">
        <v>134</v>
      </c>
      <c r="E1227" s="65" t="s">
        <v>133</v>
      </c>
    </row>
    <row r="1228" spans="1:5" x14ac:dyDescent="0.45">
      <c r="A1228">
        <v>20230527</v>
      </c>
      <c r="B1228" s="65" t="s">
        <v>133</v>
      </c>
      <c r="C1228" s="65" t="s">
        <v>130</v>
      </c>
      <c r="D1228" s="65" t="s">
        <v>134</v>
      </c>
      <c r="E1228" s="65" t="s">
        <v>133</v>
      </c>
    </row>
    <row r="1229" spans="1:5" x14ac:dyDescent="0.45">
      <c r="A1229">
        <v>20230528</v>
      </c>
      <c r="B1229" s="65" t="s">
        <v>133</v>
      </c>
      <c r="C1229" s="65" t="s">
        <v>130</v>
      </c>
      <c r="D1229" s="65" t="s">
        <v>134</v>
      </c>
      <c r="E1229" s="65" t="s">
        <v>133</v>
      </c>
    </row>
    <row r="1230" spans="1:5" x14ac:dyDescent="0.45">
      <c r="A1230">
        <v>20230603</v>
      </c>
      <c r="B1230" s="65" t="s">
        <v>133</v>
      </c>
      <c r="C1230" s="65" t="s">
        <v>130</v>
      </c>
      <c r="D1230" s="65" t="s">
        <v>134</v>
      </c>
      <c r="E1230" s="65" t="s">
        <v>133</v>
      </c>
    </row>
    <row r="1231" spans="1:5" x14ac:dyDescent="0.45">
      <c r="A1231">
        <v>20230604</v>
      </c>
      <c r="B1231" s="65" t="s">
        <v>133</v>
      </c>
      <c r="C1231" s="65" t="s">
        <v>130</v>
      </c>
      <c r="D1231" s="65" t="s">
        <v>134</v>
      </c>
      <c r="E1231" s="65" t="s">
        <v>133</v>
      </c>
    </row>
    <row r="1232" spans="1:5" x14ac:dyDescent="0.45">
      <c r="A1232">
        <v>20230610</v>
      </c>
      <c r="B1232" s="65" t="s">
        <v>133</v>
      </c>
      <c r="C1232" s="65" t="s">
        <v>130</v>
      </c>
      <c r="D1232" s="65" t="s">
        <v>134</v>
      </c>
      <c r="E1232" s="65" t="s">
        <v>133</v>
      </c>
    </row>
    <row r="1233" spans="1:5" x14ac:dyDescent="0.45">
      <c r="A1233">
        <v>20230611</v>
      </c>
      <c r="B1233" s="65" t="s">
        <v>133</v>
      </c>
      <c r="C1233" s="65" t="s">
        <v>130</v>
      </c>
      <c r="D1233" s="65" t="s">
        <v>134</v>
      </c>
      <c r="E1233" s="65" t="s">
        <v>133</v>
      </c>
    </row>
    <row r="1234" spans="1:5" x14ac:dyDescent="0.45">
      <c r="A1234">
        <v>20230617</v>
      </c>
      <c r="B1234" s="65" t="s">
        <v>133</v>
      </c>
      <c r="C1234" s="65" t="s">
        <v>142</v>
      </c>
      <c r="D1234" s="65" t="s">
        <v>143</v>
      </c>
      <c r="E1234" s="65" t="s">
        <v>133</v>
      </c>
    </row>
    <row r="1235" spans="1:5" x14ac:dyDescent="0.45">
      <c r="A1235">
        <v>20230618</v>
      </c>
      <c r="B1235" s="65" t="s">
        <v>133</v>
      </c>
      <c r="C1235" s="65" t="s">
        <v>130</v>
      </c>
      <c r="D1235" s="65" t="s">
        <v>134</v>
      </c>
      <c r="E1235" s="65" t="s">
        <v>133</v>
      </c>
    </row>
    <row r="1236" spans="1:5" x14ac:dyDescent="0.45">
      <c r="A1236">
        <v>20230622</v>
      </c>
      <c r="B1236" s="65" t="s">
        <v>153</v>
      </c>
      <c r="C1236" s="65" t="s">
        <v>130</v>
      </c>
      <c r="D1236" s="65" t="s">
        <v>131</v>
      </c>
      <c r="E1236" s="65" t="s">
        <v>209</v>
      </c>
    </row>
    <row r="1237" spans="1:5" x14ac:dyDescent="0.45">
      <c r="A1237">
        <v>20230623</v>
      </c>
      <c r="B1237" s="65" t="s">
        <v>133</v>
      </c>
      <c r="C1237" s="65" t="s">
        <v>130</v>
      </c>
      <c r="D1237" s="65" t="s">
        <v>140</v>
      </c>
      <c r="E1237" s="65" t="s">
        <v>133</v>
      </c>
    </row>
    <row r="1238" spans="1:5" x14ac:dyDescent="0.45">
      <c r="A1238">
        <v>20230624</v>
      </c>
      <c r="B1238" s="65" t="s">
        <v>133</v>
      </c>
      <c r="C1238" s="65" t="s">
        <v>130</v>
      </c>
      <c r="D1238" s="65" t="s">
        <v>134</v>
      </c>
      <c r="E1238" s="65" t="s">
        <v>133</v>
      </c>
    </row>
    <row r="1239" spans="1:5" x14ac:dyDescent="0.45">
      <c r="A1239">
        <v>20230625</v>
      </c>
      <c r="B1239" s="65" t="s">
        <v>133</v>
      </c>
      <c r="C1239" s="65" t="s">
        <v>130</v>
      </c>
      <c r="D1239" s="65" t="s">
        <v>134</v>
      </c>
      <c r="E1239" s="65" t="s">
        <v>133</v>
      </c>
    </row>
    <row r="1240" spans="1:5" x14ac:dyDescent="0.45">
      <c r="A1240">
        <v>20230701</v>
      </c>
      <c r="B1240" s="65" t="s">
        <v>133</v>
      </c>
      <c r="C1240" s="65" t="s">
        <v>130</v>
      </c>
      <c r="D1240" s="65" t="s">
        <v>134</v>
      </c>
      <c r="E1240" s="65" t="s">
        <v>133</v>
      </c>
    </row>
    <row r="1241" spans="1:5" x14ac:dyDescent="0.45">
      <c r="A1241">
        <v>20230702</v>
      </c>
      <c r="B1241" s="65" t="s">
        <v>133</v>
      </c>
      <c r="C1241" s="65" t="s">
        <v>130</v>
      </c>
      <c r="D1241" s="65" t="s">
        <v>134</v>
      </c>
      <c r="E1241" s="65" t="s">
        <v>133</v>
      </c>
    </row>
    <row r="1242" spans="1:5" x14ac:dyDescent="0.45">
      <c r="A1242">
        <v>20230708</v>
      </c>
      <c r="B1242" s="65" t="s">
        <v>133</v>
      </c>
      <c r="C1242" s="65" t="s">
        <v>130</v>
      </c>
      <c r="D1242" s="65" t="s">
        <v>134</v>
      </c>
      <c r="E1242" s="65" t="s">
        <v>133</v>
      </c>
    </row>
    <row r="1243" spans="1:5" x14ac:dyDescent="0.45">
      <c r="A1243">
        <v>20230709</v>
      </c>
      <c r="B1243" s="65" t="s">
        <v>133</v>
      </c>
      <c r="C1243" s="65" t="s">
        <v>130</v>
      </c>
      <c r="D1243" s="65" t="s">
        <v>134</v>
      </c>
      <c r="E1243" s="65" t="s">
        <v>133</v>
      </c>
    </row>
    <row r="1244" spans="1:5" x14ac:dyDescent="0.45">
      <c r="A1244">
        <v>20230715</v>
      </c>
      <c r="B1244" s="65" t="s">
        <v>133</v>
      </c>
      <c r="C1244" s="65" t="s">
        <v>130</v>
      </c>
      <c r="D1244" s="65" t="s">
        <v>134</v>
      </c>
      <c r="E1244" s="65" t="s">
        <v>133</v>
      </c>
    </row>
    <row r="1245" spans="1:5" x14ac:dyDescent="0.45">
      <c r="A1245">
        <v>20230716</v>
      </c>
      <c r="B1245" s="65" t="s">
        <v>133</v>
      </c>
      <c r="C1245" s="65" t="s">
        <v>130</v>
      </c>
      <c r="D1245" s="65" t="s">
        <v>134</v>
      </c>
      <c r="E1245" s="65" t="s">
        <v>133</v>
      </c>
    </row>
    <row r="1246" spans="1:5" x14ac:dyDescent="0.45">
      <c r="A1246">
        <v>20230722</v>
      </c>
      <c r="B1246" s="65" t="s">
        <v>133</v>
      </c>
      <c r="C1246" s="65" t="s">
        <v>130</v>
      </c>
      <c r="D1246" s="65" t="s">
        <v>134</v>
      </c>
      <c r="E1246" s="65" t="s">
        <v>133</v>
      </c>
    </row>
    <row r="1247" spans="1:5" x14ac:dyDescent="0.45">
      <c r="A1247">
        <v>20230723</v>
      </c>
      <c r="B1247" s="65" t="s">
        <v>133</v>
      </c>
      <c r="C1247" s="65" t="s">
        <v>130</v>
      </c>
      <c r="D1247" s="65" t="s">
        <v>134</v>
      </c>
      <c r="E1247" s="65" t="s">
        <v>133</v>
      </c>
    </row>
    <row r="1248" spans="1:5" x14ac:dyDescent="0.45">
      <c r="A1248">
        <v>20230729</v>
      </c>
      <c r="B1248" s="65" t="s">
        <v>133</v>
      </c>
      <c r="C1248" s="65" t="s">
        <v>130</v>
      </c>
      <c r="D1248" s="65" t="s">
        <v>134</v>
      </c>
      <c r="E1248" s="65" t="s">
        <v>133</v>
      </c>
    </row>
    <row r="1249" spans="1:5" x14ac:dyDescent="0.45">
      <c r="A1249">
        <v>20230730</v>
      </c>
      <c r="B1249" s="65" t="s">
        <v>133</v>
      </c>
      <c r="C1249" s="65" t="s">
        <v>130</v>
      </c>
      <c r="D1249" s="65" t="s">
        <v>134</v>
      </c>
      <c r="E1249" s="65" t="s">
        <v>133</v>
      </c>
    </row>
    <row r="1250" spans="1:5" x14ac:dyDescent="0.45">
      <c r="A1250">
        <v>20230805</v>
      </c>
      <c r="B1250" s="65" t="s">
        <v>133</v>
      </c>
      <c r="C1250" s="65" t="s">
        <v>130</v>
      </c>
      <c r="D1250" s="65" t="s">
        <v>134</v>
      </c>
      <c r="E1250" s="65" t="s">
        <v>133</v>
      </c>
    </row>
    <row r="1251" spans="1:5" x14ac:dyDescent="0.45">
      <c r="A1251">
        <v>20230806</v>
      </c>
      <c r="B1251" s="65" t="s">
        <v>133</v>
      </c>
      <c r="C1251" s="65" t="s">
        <v>130</v>
      </c>
      <c r="D1251" s="65" t="s">
        <v>134</v>
      </c>
      <c r="E1251" s="65" t="s">
        <v>133</v>
      </c>
    </row>
    <row r="1252" spans="1:5" x14ac:dyDescent="0.45">
      <c r="A1252">
        <v>20230812</v>
      </c>
      <c r="B1252" s="65" t="s">
        <v>133</v>
      </c>
      <c r="C1252" s="65" t="s">
        <v>130</v>
      </c>
      <c r="D1252" s="65" t="s">
        <v>134</v>
      </c>
      <c r="E1252" s="65" t="s">
        <v>133</v>
      </c>
    </row>
    <row r="1253" spans="1:5" x14ac:dyDescent="0.45">
      <c r="A1253">
        <v>20230813</v>
      </c>
      <c r="B1253" s="65" t="s">
        <v>133</v>
      </c>
      <c r="C1253" s="65" t="s">
        <v>130</v>
      </c>
      <c r="D1253" s="65" t="s">
        <v>134</v>
      </c>
      <c r="E1253" s="65" t="s">
        <v>133</v>
      </c>
    </row>
    <row r="1254" spans="1:5" x14ac:dyDescent="0.45">
      <c r="A1254">
        <v>20230819</v>
      </c>
      <c r="B1254" s="65" t="s">
        <v>133</v>
      </c>
      <c r="C1254" s="65" t="s">
        <v>130</v>
      </c>
      <c r="D1254" s="65" t="s">
        <v>134</v>
      </c>
      <c r="E1254" s="65" t="s">
        <v>133</v>
      </c>
    </row>
    <row r="1255" spans="1:5" x14ac:dyDescent="0.45">
      <c r="A1255">
        <v>20230820</v>
      </c>
      <c r="B1255" s="65" t="s">
        <v>133</v>
      </c>
      <c r="C1255" s="65" t="s">
        <v>130</v>
      </c>
      <c r="D1255" s="65" t="s">
        <v>134</v>
      </c>
      <c r="E1255" s="65" t="s">
        <v>133</v>
      </c>
    </row>
    <row r="1256" spans="1:5" x14ac:dyDescent="0.45">
      <c r="A1256">
        <v>20230826</v>
      </c>
      <c r="B1256" s="65" t="s">
        <v>133</v>
      </c>
      <c r="C1256" s="65" t="s">
        <v>130</v>
      </c>
      <c r="D1256" s="65" t="s">
        <v>134</v>
      </c>
      <c r="E1256" s="65" t="s">
        <v>133</v>
      </c>
    </row>
    <row r="1257" spans="1:5" x14ac:dyDescent="0.45">
      <c r="A1257">
        <v>20230827</v>
      </c>
      <c r="B1257" s="65" t="s">
        <v>133</v>
      </c>
      <c r="C1257" s="65" t="s">
        <v>130</v>
      </c>
      <c r="D1257" s="65" t="s">
        <v>134</v>
      </c>
      <c r="E1257" s="65" t="s">
        <v>133</v>
      </c>
    </row>
    <row r="1258" spans="1:5" x14ac:dyDescent="0.45">
      <c r="A1258">
        <v>20230902</v>
      </c>
      <c r="B1258" s="65" t="s">
        <v>133</v>
      </c>
      <c r="C1258" s="65" t="s">
        <v>130</v>
      </c>
      <c r="D1258" s="65" t="s">
        <v>134</v>
      </c>
      <c r="E1258" s="65" t="s">
        <v>133</v>
      </c>
    </row>
    <row r="1259" spans="1:5" x14ac:dyDescent="0.45">
      <c r="A1259">
        <v>20230909</v>
      </c>
      <c r="B1259" s="65" t="s">
        <v>133</v>
      </c>
      <c r="C1259" s="65" t="s">
        <v>130</v>
      </c>
      <c r="D1259" s="65" t="s">
        <v>134</v>
      </c>
      <c r="E1259" s="65" t="s">
        <v>133</v>
      </c>
    </row>
    <row r="1260" spans="1:5" x14ac:dyDescent="0.45">
      <c r="A1260">
        <v>20230910</v>
      </c>
      <c r="B1260" s="65" t="s">
        <v>133</v>
      </c>
      <c r="C1260" s="65" t="s">
        <v>130</v>
      </c>
      <c r="D1260" s="65" t="s">
        <v>134</v>
      </c>
      <c r="E1260" s="65" t="s">
        <v>133</v>
      </c>
    </row>
    <row r="1261" spans="1:5" x14ac:dyDescent="0.45">
      <c r="A1261">
        <v>20230916</v>
      </c>
      <c r="B1261" s="65" t="s">
        <v>133</v>
      </c>
      <c r="C1261" s="65" t="s">
        <v>130</v>
      </c>
      <c r="D1261" s="65" t="s">
        <v>134</v>
      </c>
      <c r="E1261" s="65" t="s">
        <v>133</v>
      </c>
    </row>
    <row r="1262" spans="1:5" x14ac:dyDescent="0.45">
      <c r="A1262">
        <v>20230917</v>
      </c>
      <c r="B1262" s="65" t="s">
        <v>133</v>
      </c>
      <c r="C1262" s="65" t="s">
        <v>130</v>
      </c>
      <c r="D1262" s="65" t="s">
        <v>134</v>
      </c>
      <c r="E1262" s="65" t="s">
        <v>133</v>
      </c>
    </row>
    <row r="1263" spans="1:5" x14ac:dyDescent="0.45">
      <c r="A1263">
        <v>20230923</v>
      </c>
      <c r="B1263" s="65" t="s">
        <v>133</v>
      </c>
      <c r="C1263" s="65" t="s">
        <v>142</v>
      </c>
      <c r="D1263" s="65" t="s">
        <v>143</v>
      </c>
      <c r="E1263" s="65" t="s">
        <v>133</v>
      </c>
    </row>
    <row r="1264" spans="1:5" x14ac:dyDescent="0.45">
      <c r="A1264">
        <v>20230924</v>
      </c>
      <c r="B1264" s="65" t="s">
        <v>133</v>
      </c>
      <c r="C1264" s="65" t="s">
        <v>130</v>
      </c>
      <c r="D1264" s="65" t="s">
        <v>134</v>
      </c>
      <c r="E1264" s="65" t="s">
        <v>133</v>
      </c>
    </row>
    <row r="1265" spans="1:5" x14ac:dyDescent="0.45">
      <c r="A1265">
        <v>20230929</v>
      </c>
      <c r="B1265" s="65" t="s">
        <v>154</v>
      </c>
      <c r="C1265" s="65" t="s">
        <v>130</v>
      </c>
      <c r="D1265" s="65" t="s">
        <v>131</v>
      </c>
      <c r="E1265" s="65" t="s">
        <v>132</v>
      </c>
    </row>
    <row r="1266" spans="1:5" x14ac:dyDescent="0.45">
      <c r="A1266">
        <v>20230930</v>
      </c>
      <c r="B1266" s="65" t="s">
        <v>133</v>
      </c>
      <c r="C1266" s="65" t="s">
        <v>130</v>
      </c>
      <c r="D1266" s="65" t="s">
        <v>134</v>
      </c>
      <c r="E1266" s="65" t="s">
        <v>133</v>
      </c>
    </row>
    <row r="1267" spans="1:5" x14ac:dyDescent="0.45">
      <c r="A1267">
        <v>20231001</v>
      </c>
      <c r="B1267" s="65" t="s">
        <v>133</v>
      </c>
      <c r="C1267" s="65" t="s">
        <v>130</v>
      </c>
      <c r="D1267" s="65" t="s">
        <v>134</v>
      </c>
      <c r="E1267" s="65" t="s">
        <v>133</v>
      </c>
    </row>
    <row r="1268" spans="1:5" x14ac:dyDescent="0.45">
      <c r="A1268">
        <v>20231007</v>
      </c>
      <c r="B1268" s="65" t="s">
        <v>133</v>
      </c>
      <c r="C1268" s="65" t="s">
        <v>130</v>
      </c>
      <c r="D1268" s="65" t="s">
        <v>134</v>
      </c>
      <c r="E1268" s="65" t="s">
        <v>133</v>
      </c>
    </row>
    <row r="1269" spans="1:5" x14ac:dyDescent="0.45">
      <c r="A1269">
        <v>20231008</v>
      </c>
      <c r="B1269" s="65" t="s">
        <v>133</v>
      </c>
      <c r="C1269" s="65" t="s">
        <v>130</v>
      </c>
      <c r="D1269" s="65" t="s">
        <v>134</v>
      </c>
      <c r="E1269" s="65" t="s">
        <v>133</v>
      </c>
    </row>
    <row r="1270" spans="1:5" x14ac:dyDescent="0.45">
      <c r="A1270">
        <v>20231009</v>
      </c>
      <c r="B1270" s="65" t="s">
        <v>133</v>
      </c>
      <c r="C1270" s="65" t="s">
        <v>130</v>
      </c>
      <c r="D1270" s="65" t="s">
        <v>140</v>
      </c>
      <c r="E1270" s="65" t="s">
        <v>133</v>
      </c>
    </row>
    <row r="1271" spans="1:5" x14ac:dyDescent="0.45">
      <c r="A1271">
        <v>20231010</v>
      </c>
      <c r="B1271" s="65" t="s">
        <v>158</v>
      </c>
      <c r="C1271" s="65" t="s">
        <v>130</v>
      </c>
      <c r="D1271" s="65" t="s">
        <v>131</v>
      </c>
      <c r="E1271" s="65" t="s">
        <v>210</v>
      </c>
    </row>
    <row r="1272" spans="1:5" x14ac:dyDescent="0.45">
      <c r="A1272">
        <v>20231014</v>
      </c>
      <c r="B1272" s="65" t="s">
        <v>133</v>
      </c>
      <c r="C1272" s="65" t="s">
        <v>130</v>
      </c>
      <c r="D1272" s="65" t="s">
        <v>134</v>
      </c>
      <c r="E1272" s="65" t="s">
        <v>133</v>
      </c>
    </row>
    <row r="1273" spans="1:5" x14ac:dyDescent="0.45">
      <c r="A1273">
        <v>20231015</v>
      </c>
      <c r="B1273" s="65" t="s">
        <v>133</v>
      </c>
      <c r="C1273" s="65" t="s">
        <v>130</v>
      </c>
      <c r="D1273" s="65" t="s">
        <v>134</v>
      </c>
      <c r="E1273" s="65" t="s">
        <v>133</v>
      </c>
    </row>
    <row r="1274" spans="1:5" x14ac:dyDescent="0.45">
      <c r="A1274">
        <v>20231021</v>
      </c>
      <c r="B1274" s="65" t="s">
        <v>133</v>
      </c>
      <c r="C1274" s="65" t="s">
        <v>130</v>
      </c>
      <c r="D1274" s="65" t="s">
        <v>134</v>
      </c>
      <c r="E1274" s="65" t="s">
        <v>133</v>
      </c>
    </row>
    <row r="1275" spans="1:5" x14ac:dyDescent="0.45">
      <c r="A1275">
        <v>20231022</v>
      </c>
      <c r="B1275" s="65" t="s">
        <v>133</v>
      </c>
      <c r="C1275" s="65" t="s">
        <v>130</v>
      </c>
      <c r="D1275" s="65" t="s">
        <v>134</v>
      </c>
      <c r="E1275" s="65" t="s">
        <v>133</v>
      </c>
    </row>
    <row r="1276" spans="1:5" x14ac:dyDescent="0.45">
      <c r="A1276">
        <v>20231028</v>
      </c>
      <c r="B1276" s="65" t="s">
        <v>133</v>
      </c>
      <c r="C1276" s="65" t="s">
        <v>130</v>
      </c>
      <c r="D1276" s="65" t="s">
        <v>134</v>
      </c>
      <c r="E1276" s="65" t="s">
        <v>133</v>
      </c>
    </row>
    <row r="1277" spans="1:5" x14ac:dyDescent="0.45">
      <c r="A1277">
        <v>20231029</v>
      </c>
      <c r="B1277" s="65" t="s">
        <v>133</v>
      </c>
      <c r="C1277" s="65" t="s">
        <v>130</v>
      </c>
      <c r="D1277" s="65" t="s">
        <v>134</v>
      </c>
      <c r="E1277" s="65" t="s">
        <v>133</v>
      </c>
    </row>
    <row r="1278" spans="1:5" x14ac:dyDescent="0.45">
      <c r="A1278">
        <v>20231104</v>
      </c>
      <c r="B1278" s="65" t="s">
        <v>133</v>
      </c>
      <c r="C1278" s="65" t="s">
        <v>130</v>
      </c>
      <c r="D1278" s="65" t="s">
        <v>134</v>
      </c>
      <c r="E1278" s="65" t="s">
        <v>133</v>
      </c>
    </row>
    <row r="1279" spans="1:5" x14ac:dyDescent="0.45">
      <c r="A1279">
        <v>20231105</v>
      </c>
      <c r="B1279" s="65" t="s">
        <v>133</v>
      </c>
      <c r="C1279" s="65" t="s">
        <v>130</v>
      </c>
      <c r="D1279" s="65" t="s">
        <v>134</v>
      </c>
      <c r="E1279" s="65" t="s">
        <v>133</v>
      </c>
    </row>
    <row r="1280" spans="1:5" x14ac:dyDescent="0.45">
      <c r="A1280">
        <v>20231111</v>
      </c>
      <c r="B1280" s="65" t="s">
        <v>133</v>
      </c>
      <c r="C1280" s="65" t="s">
        <v>130</v>
      </c>
      <c r="D1280" s="65" t="s">
        <v>134</v>
      </c>
      <c r="E1280" s="65" t="s">
        <v>133</v>
      </c>
    </row>
    <row r="1281" spans="1:5" x14ac:dyDescent="0.45">
      <c r="A1281">
        <v>20231112</v>
      </c>
      <c r="B1281" s="65" t="s">
        <v>133</v>
      </c>
      <c r="C1281" s="65" t="s">
        <v>130</v>
      </c>
      <c r="D1281" s="65" t="s">
        <v>134</v>
      </c>
      <c r="E1281" s="65" t="s">
        <v>133</v>
      </c>
    </row>
    <row r="1282" spans="1:5" x14ac:dyDescent="0.45">
      <c r="A1282">
        <v>20231118</v>
      </c>
      <c r="B1282" s="65" t="s">
        <v>133</v>
      </c>
      <c r="C1282" s="65" t="s">
        <v>130</v>
      </c>
      <c r="D1282" s="65" t="s">
        <v>134</v>
      </c>
      <c r="E1282" s="65" t="s">
        <v>133</v>
      </c>
    </row>
    <row r="1283" spans="1:5" x14ac:dyDescent="0.45">
      <c r="A1283">
        <v>20231119</v>
      </c>
      <c r="B1283" s="65" t="s">
        <v>133</v>
      </c>
      <c r="C1283" s="65" t="s">
        <v>130</v>
      </c>
      <c r="D1283" s="65" t="s">
        <v>134</v>
      </c>
      <c r="E1283" s="65" t="s">
        <v>133</v>
      </c>
    </row>
    <row r="1284" spans="1:5" x14ac:dyDescent="0.45">
      <c r="A1284">
        <v>20231125</v>
      </c>
      <c r="B1284" s="65" t="s">
        <v>133</v>
      </c>
      <c r="C1284" s="65" t="s">
        <v>130</v>
      </c>
      <c r="D1284" s="65" t="s">
        <v>134</v>
      </c>
      <c r="E1284" s="65" t="s">
        <v>133</v>
      </c>
    </row>
    <row r="1285" spans="1:5" x14ac:dyDescent="0.45">
      <c r="A1285">
        <v>20231126</v>
      </c>
      <c r="B1285" s="65" t="s">
        <v>133</v>
      </c>
      <c r="C1285" s="65" t="s">
        <v>130</v>
      </c>
      <c r="D1285" s="65" t="s">
        <v>134</v>
      </c>
      <c r="E1285" s="65" t="s">
        <v>133</v>
      </c>
    </row>
    <row r="1286" spans="1:5" x14ac:dyDescent="0.45">
      <c r="A1286">
        <v>20231202</v>
      </c>
      <c r="B1286" s="65" t="s">
        <v>133</v>
      </c>
      <c r="C1286" s="65" t="s">
        <v>130</v>
      </c>
      <c r="D1286" s="65" t="s">
        <v>134</v>
      </c>
      <c r="E1286" s="65" t="s">
        <v>133</v>
      </c>
    </row>
    <row r="1287" spans="1:5" x14ac:dyDescent="0.45">
      <c r="A1287">
        <v>20231203</v>
      </c>
      <c r="B1287" s="65" t="s">
        <v>133</v>
      </c>
      <c r="C1287" s="65" t="s">
        <v>130</v>
      </c>
      <c r="D1287" s="65" t="s">
        <v>134</v>
      </c>
      <c r="E1287" s="65" t="s">
        <v>133</v>
      </c>
    </row>
    <row r="1288" spans="1:5" x14ac:dyDescent="0.45">
      <c r="A1288">
        <v>20231209</v>
      </c>
      <c r="B1288" s="65" t="s">
        <v>133</v>
      </c>
      <c r="C1288" s="65" t="s">
        <v>130</v>
      </c>
      <c r="D1288" s="65" t="s">
        <v>134</v>
      </c>
      <c r="E1288" s="65" t="s">
        <v>133</v>
      </c>
    </row>
    <row r="1289" spans="1:5" x14ac:dyDescent="0.45">
      <c r="A1289">
        <v>20231210</v>
      </c>
      <c r="B1289" s="65" t="s">
        <v>133</v>
      </c>
      <c r="C1289" s="65" t="s">
        <v>130</v>
      </c>
      <c r="D1289" s="65" t="s">
        <v>134</v>
      </c>
      <c r="E1289" s="65" t="s">
        <v>133</v>
      </c>
    </row>
    <row r="1290" spans="1:5" x14ac:dyDescent="0.45">
      <c r="A1290">
        <v>20231216</v>
      </c>
      <c r="B1290" s="65" t="s">
        <v>133</v>
      </c>
      <c r="C1290" s="65" t="s">
        <v>130</v>
      </c>
      <c r="D1290" s="65" t="s">
        <v>134</v>
      </c>
      <c r="E1290" s="65" t="s">
        <v>133</v>
      </c>
    </row>
    <row r="1291" spans="1:5" x14ac:dyDescent="0.45">
      <c r="A1291">
        <v>20231217</v>
      </c>
      <c r="B1291" s="65" t="s">
        <v>133</v>
      </c>
      <c r="C1291" s="65" t="s">
        <v>130</v>
      </c>
      <c r="D1291" s="65" t="s">
        <v>134</v>
      </c>
      <c r="E1291" s="65" t="s">
        <v>133</v>
      </c>
    </row>
    <row r="1292" spans="1:5" x14ac:dyDescent="0.45">
      <c r="A1292">
        <v>20231223</v>
      </c>
      <c r="B1292" s="65" t="s">
        <v>133</v>
      </c>
      <c r="C1292" s="65" t="s">
        <v>130</v>
      </c>
      <c r="D1292" s="65" t="s">
        <v>134</v>
      </c>
      <c r="E1292" s="65" t="s">
        <v>133</v>
      </c>
    </row>
    <row r="1293" spans="1:5" x14ac:dyDescent="0.45">
      <c r="A1293">
        <v>20231224</v>
      </c>
      <c r="B1293" s="65" t="s">
        <v>133</v>
      </c>
      <c r="C1293" s="65" t="s">
        <v>130</v>
      </c>
      <c r="D1293" s="65" t="s">
        <v>134</v>
      </c>
      <c r="E1293" s="65" t="s">
        <v>133</v>
      </c>
    </row>
    <row r="1294" spans="1:5" x14ac:dyDescent="0.45">
      <c r="A1294">
        <v>20231230</v>
      </c>
      <c r="B1294" s="65" t="s">
        <v>133</v>
      </c>
      <c r="C1294" s="65" t="s">
        <v>130</v>
      </c>
      <c r="D1294" s="65" t="s">
        <v>134</v>
      </c>
      <c r="E1294" s="65" t="s">
        <v>133</v>
      </c>
    </row>
    <row r="1295" spans="1:5" x14ac:dyDescent="0.45">
      <c r="A1295">
        <v>20231231</v>
      </c>
      <c r="B1295" s="65" t="s">
        <v>133</v>
      </c>
      <c r="C1295" s="65" t="s">
        <v>130</v>
      </c>
      <c r="D1295" s="65" t="s">
        <v>134</v>
      </c>
      <c r="E1295" s="65" t="s">
        <v>133</v>
      </c>
    </row>
    <row r="1296" spans="1:5" x14ac:dyDescent="0.45">
      <c r="A1296">
        <v>20240101</v>
      </c>
      <c r="B1296" s="65" t="s">
        <v>129</v>
      </c>
      <c r="C1296" s="65" t="s">
        <v>130</v>
      </c>
      <c r="D1296" s="65" t="s">
        <v>131</v>
      </c>
      <c r="E1296" s="65" t="s">
        <v>132</v>
      </c>
    </row>
    <row r="1297" spans="1:5" x14ac:dyDescent="0.45">
      <c r="A1297">
        <v>20240106</v>
      </c>
      <c r="B1297" s="65" t="s">
        <v>133</v>
      </c>
      <c r="C1297" s="65" t="s">
        <v>130</v>
      </c>
      <c r="D1297" s="65" t="s">
        <v>134</v>
      </c>
      <c r="E1297" s="65" t="s">
        <v>133</v>
      </c>
    </row>
    <row r="1298" spans="1:5" x14ac:dyDescent="0.45">
      <c r="A1298">
        <v>20240107</v>
      </c>
      <c r="B1298" s="65" t="s">
        <v>133</v>
      </c>
      <c r="C1298" s="65" t="s">
        <v>130</v>
      </c>
      <c r="D1298" s="65" t="s">
        <v>134</v>
      </c>
      <c r="E1298" s="65" t="s">
        <v>133</v>
      </c>
    </row>
    <row r="1299" spans="1:5" x14ac:dyDescent="0.45">
      <c r="A1299">
        <v>20240113</v>
      </c>
      <c r="B1299" s="65" t="s">
        <v>133</v>
      </c>
      <c r="C1299" s="65" t="s">
        <v>130</v>
      </c>
      <c r="D1299" s="65" t="s">
        <v>134</v>
      </c>
      <c r="E1299" s="65" t="s">
        <v>133</v>
      </c>
    </row>
    <row r="1300" spans="1:5" x14ac:dyDescent="0.45">
      <c r="A1300">
        <v>20240114</v>
      </c>
      <c r="B1300" s="65" t="s">
        <v>133</v>
      </c>
      <c r="C1300" s="65" t="s">
        <v>130</v>
      </c>
      <c r="D1300" s="65" t="s">
        <v>134</v>
      </c>
      <c r="E1300" s="65" t="s">
        <v>133</v>
      </c>
    </row>
    <row r="1301" spans="1:5" x14ac:dyDescent="0.45">
      <c r="A1301">
        <v>20240120</v>
      </c>
      <c r="B1301" s="65" t="s">
        <v>133</v>
      </c>
      <c r="C1301" s="65" t="s">
        <v>130</v>
      </c>
      <c r="D1301" s="65" t="s">
        <v>134</v>
      </c>
      <c r="E1301" s="65" t="s">
        <v>133</v>
      </c>
    </row>
    <row r="1302" spans="1:5" x14ac:dyDescent="0.45">
      <c r="A1302">
        <v>20240121</v>
      </c>
      <c r="B1302" s="65" t="s">
        <v>133</v>
      </c>
      <c r="C1302" s="65" t="s">
        <v>130</v>
      </c>
      <c r="D1302" s="65" t="s">
        <v>134</v>
      </c>
      <c r="E1302" s="65" t="s">
        <v>133</v>
      </c>
    </row>
    <row r="1303" spans="1:5" x14ac:dyDescent="0.45">
      <c r="A1303">
        <v>20240127</v>
      </c>
      <c r="B1303" s="65" t="s">
        <v>133</v>
      </c>
      <c r="C1303" s="65" t="s">
        <v>130</v>
      </c>
      <c r="D1303" s="65" t="s">
        <v>134</v>
      </c>
      <c r="E1303" s="65" t="s">
        <v>133</v>
      </c>
    </row>
    <row r="1304" spans="1:5" x14ac:dyDescent="0.45">
      <c r="A1304">
        <v>20240128</v>
      </c>
      <c r="B1304" s="65" t="s">
        <v>133</v>
      </c>
      <c r="C1304" s="65" t="s">
        <v>130</v>
      </c>
      <c r="D1304" s="65" t="s">
        <v>134</v>
      </c>
      <c r="E1304" s="65" t="s">
        <v>133</v>
      </c>
    </row>
    <row r="1305" spans="1:5" x14ac:dyDescent="0.45">
      <c r="A1305">
        <v>20240203</v>
      </c>
      <c r="B1305" s="65" t="s">
        <v>133</v>
      </c>
      <c r="C1305" s="65" t="s">
        <v>130</v>
      </c>
      <c r="D1305" s="65" t="s">
        <v>134</v>
      </c>
      <c r="E1305" s="65" t="s">
        <v>133</v>
      </c>
    </row>
    <row r="1306" spans="1:5" x14ac:dyDescent="0.45">
      <c r="A1306">
        <v>20240204</v>
      </c>
      <c r="B1306" s="65" t="s">
        <v>133</v>
      </c>
      <c r="C1306" s="65" t="s">
        <v>130</v>
      </c>
      <c r="D1306" s="65" t="s">
        <v>134</v>
      </c>
      <c r="E1306" s="65" t="s">
        <v>133</v>
      </c>
    </row>
    <row r="1307" spans="1:5" x14ac:dyDescent="0.45">
      <c r="A1307">
        <v>20240208</v>
      </c>
      <c r="B1307" s="65" t="s">
        <v>133</v>
      </c>
      <c r="C1307" s="65" t="s">
        <v>130</v>
      </c>
      <c r="D1307" s="65" t="s">
        <v>140</v>
      </c>
      <c r="E1307" s="65" t="s">
        <v>133</v>
      </c>
    </row>
    <row r="1308" spans="1:5" x14ac:dyDescent="0.45">
      <c r="A1308">
        <v>20240209</v>
      </c>
      <c r="B1308" s="65" t="s">
        <v>135</v>
      </c>
      <c r="C1308" s="65" t="s">
        <v>130</v>
      </c>
      <c r="D1308" s="65" t="s">
        <v>131</v>
      </c>
      <c r="E1308" s="65" t="s">
        <v>211</v>
      </c>
    </row>
    <row r="1309" spans="1:5" x14ac:dyDescent="0.45">
      <c r="A1309">
        <v>20240210</v>
      </c>
      <c r="B1309" s="65" t="s">
        <v>137</v>
      </c>
      <c r="C1309" s="65" t="s">
        <v>130</v>
      </c>
      <c r="D1309" s="65" t="s">
        <v>131</v>
      </c>
      <c r="E1309" s="65" t="s">
        <v>212</v>
      </c>
    </row>
    <row r="1310" spans="1:5" x14ac:dyDescent="0.45">
      <c r="A1310">
        <v>20240211</v>
      </c>
      <c r="B1310" s="65" t="s">
        <v>137</v>
      </c>
      <c r="C1310" s="65" t="s">
        <v>130</v>
      </c>
      <c r="D1310" s="65" t="s">
        <v>131</v>
      </c>
      <c r="E1310" s="65" t="s">
        <v>133</v>
      </c>
    </row>
    <row r="1311" spans="1:5" x14ac:dyDescent="0.45">
      <c r="A1311">
        <v>20240212</v>
      </c>
      <c r="B1311" s="65" t="s">
        <v>137</v>
      </c>
      <c r="C1311" s="65" t="s">
        <v>130</v>
      </c>
      <c r="D1311" s="65" t="s">
        <v>131</v>
      </c>
      <c r="E1311" s="65" t="s">
        <v>133</v>
      </c>
    </row>
    <row r="1312" spans="1:5" x14ac:dyDescent="0.45">
      <c r="A1312">
        <v>20240213</v>
      </c>
      <c r="B1312" s="65" t="s">
        <v>133</v>
      </c>
      <c r="C1312" s="65" t="s">
        <v>130</v>
      </c>
      <c r="D1312" s="65" t="s">
        <v>139</v>
      </c>
      <c r="E1312" s="65" t="s">
        <v>133</v>
      </c>
    </row>
    <row r="1313" spans="1:5" x14ac:dyDescent="0.45">
      <c r="A1313">
        <v>20240214</v>
      </c>
      <c r="B1313" s="65" t="s">
        <v>133</v>
      </c>
      <c r="C1313" s="65" t="s">
        <v>130</v>
      </c>
      <c r="D1313" s="65" t="s">
        <v>139</v>
      </c>
      <c r="E1313" s="65" t="s">
        <v>133</v>
      </c>
    </row>
    <row r="1314" spans="1:5" x14ac:dyDescent="0.45">
      <c r="A1314">
        <v>20240217</v>
      </c>
      <c r="B1314" s="65" t="s">
        <v>133</v>
      </c>
      <c r="C1314" s="65" t="s">
        <v>142</v>
      </c>
      <c r="D1314" s="65" t="s">
        <v>143</v>
      </c>
      <c r="E1314" s="65" t="s">
        <v>133</v>
      </c>
    </row>
    <row r="1315" spans="1:5" x14ac:dyDescent="0.45">
      <c r="A1315">
        <v>20240218</v>
      </c>
      <c r="B1315" s="65" t="s">
        <v>133</v>
      </c>
      <c r="C1315" s="65" t="s">
        <v>130</v>
      </c>
      <c r="D1315" s="65" t="s">
        <v>134</v>
      </c>
      <c r="E1315" s="65" t="s">
        <v>133</v>
      </c>
    </row>
    <row r="1316" spans="1:5" x14ac:dyDescent="0.45">
      <c r="A1316">
        <v>20240224</v>
      </c>
      <c r="B1316" s="65" t="s">
        <v>133</v>
      </c>
      <c r="C1316" s="65" t="s">
        <v>130</v>
      </c>
      <c r="D1316" s="65" t="s">
        <v>134</v>
      </c>
      <c r="E1316" s="65" t="s">
        <v>133</v>
      </c>
    </row>
    <row r="1317" spans="1:5" x14ac:dyDescent="0.45">
      <c r="A1317">
        <v>20240225</v>
      </c>
      <c r="B1317" s="65" t="s">
        <v>133</v>
      </c>
      <c r="C1317" s="65" t="s">
        <v>130</v>
      </c>
      <c r="D1317" s="65" t="s">
        <v>134</v>
      </c>
      <c r="E1317" s="65" t="s">
        <v>133</v>
      </c>
    </row>
    <row r="1318" spans="1:5" x14ac:dyDescent="0.45">
      <c r="A1318">
        <v>20240228</v>
      </c>
      <c r="B1318" s="65" t="s">
        <v>145</v>
      </c>
      <c r="C1318" s="65" t="s">
        <v>130</v>
      </c>
      <c r="D1318" s="65" t="s">
        <v>131</v>
      </c>
      <c r="E1318" s="65" t="s">
        <v>132</v>
      </c>
    </row>
    <row r="1319" spans="1:5" x14ac:dyDescent="0.45">
      <c r="A1319">
        <v>20240302</v>
      </c>
      <c r="B1319" s="65" t="s">
        <v>133</v>
      </c>
      <c r="C1319" s="65" t="s">
        <v>130</v>
      </c>
      <c r="D1319" s="65" t="s">
        <v>134</v>
      </c>
      <c r="E1319" s="65" t="s">
        <v>133</v>
      </c>
    </row>
    <row r="1320" spans="1:5" x14ac:dyDescent="0.45">
      <c r="A1320">
        <v>20240303</v>
      </c>
      <c r="B1320" s="65" t="s">
        <v>133</v>
      </c>
      <c r="C1320" s="65" t="s">
        <v>130</v>
      </c>
      <c r="D1320" s="65" t="s">
        <v>134</v>
      </c>
      <c r="E1320" s="65" t="s">
        <v>133</v>
      </c>
    </row>
    <row r="1321" spans="1:5" x14ac:dyDescent="0.45">
      <c r="A1321">
        <v>20240309</v>
      </c>
      <c r="B1321" s="65" t="s">
        <v>133</v>
      </c>
      <c r="C1321" s="65" t="s">
        <v>130</v>
      </c>
      <c r="D1321" s="65" t="s">
        <v>134</v>
      </c>
      <c r="E1321" s="65" t="s">
        <v>133</v>
      </c>
    </row>
    <row r="1322" spans="1:5" x14ac:dyDescent="0.45">
      <c r="A1322">
        <v>20240310</v>
      </c>
      <c r="B1322" s="65" t="s">
        <v>133</v>
      </c>
      <c r="C1322" s="65" t="s">
        <v>130</v>
      </c>
      <c r="D1322" s="65" t="s">
        <v>134</v>
      </c>
      <c r="E1322" s="65" t="s">
        <v>133</v>
      </c>
    </row>
    <row r="1323" spans="1:5" x14ac:dyDescent="0.45">
      <c r="A1323">
        <v>20240316</v>
      </c>
      <c r="B1323" s="65" t="s">
        <v>133</v>
      </c>
      <c r="C1323" s="65" t="s">
        <v>130</v>
      </c>
      <c r="D1323" s="65" t="s">
        <v>134</v>
      </c>
      <c r="E1323" s="65" t="s">
        <v>133</v>
      </c>
    </row>
    <row r="1324" spans="1:5" x14ac:dyDescent="0.45">
      <c r="A1324">
        <v>20240317</v>
      </c>
      <c r="B1324" s="65" t="s">
        <v>133</v>
      </c>
      <c r="C1324" s="65" t="s">
        <v>130</v>
      </c>
      <c r="D1324" s="65" t="s">
        <v>134</v>
      </c>
      <c r="E1324" s="65" t="s">
        <v>133</v>
      </c>
    </row>
    <row r="1325" spans="1:5" x14ac:dyDescent="0.45">
      <c r="A1325">
        <v>20240323</v>
      </c>
      <c r="B1325" s="65" t="s">
        <v>133</v>
      </c>
      <c r="C1325" s="65" t="s">
        <v>130</v>
      </c>
      <c r="D1325" s="65" t="s">
        <v>134</v>
      </c>
      <c r="E1325" s="65" t="s">
        <v>133</v>
      </c>
    </row>
    <row r="1326" spans="1:5" x14ac:dyDescent="0.45">
      <c r="A1326">
        <v>20240324</v>
      </c>
      <c r="B1326" s="65" t="s">
        <v>133</v>
      </c>
      <c r="C1326" s="65" t="s">
        <v>130</v>
      </c>
      <c r="D1326" s="65" t="s">
        <v>134</v>
      </c>
      <c r="E1326" s="65" t="s">
        <v>133</v>
      </c>
    </row>
    <row r="1327" spans="1:5" x14ac:dyDescent="0.45">
      <c r="A1327">
        <v>20240330</v>
      </c>
      <c r="B1327" s="65" t="s">
        <v>133</v>
      </c>
      <c r="C1327" s="65" t="s">
        <v>130</v>
      </c>
      <c r="D1327" s="65" t="s">
        <v>134</v>
      </c>
      <c r="E1327" s="65" t="s">
        <v>133</v>
      </c>
    </row>
    <row r="1328" spans="1:5" x14ac:dyDescent="0.45">
      <c r="A1328">
        <v>20240331</v>
      </c>
      <c r="B1328" s="65" t="s">
        <v>133</v>
      </c>
      <c r="C1328" s="65" t="s">
        <v>130</v>
      </c>
      <c r="D1328" s="65" t="s">
        <v>134</v>
      </c>
      <c r="E1328" s="65" t="s">
        <v>133</v>
      </c>
    </row>
    <row r="1329" spans="1:5" x14ac:dyDescent="0.45">
      <c r="A1329">
        <v>20240404</v>
      </c>
      <c r="B1329" s="65" t="s">
        <v>213</v>
      </c>
      <c r="C1329" s="65" t="s">
        <v>130</v>
      </c>
      <c r="D1329" s="65" t="s">
        <v>131</v>
      </c>
      <c r="E1329" s="65" t="s">
        <v>214</v>
      </c>
    </row>
    <row r="1330" spans="1:5" x14ac:dyDescent="0.45">
      <c r="A1330">
        <v>20240405</v>
      </c>
      <c r="B1330" s="65" t="s">
        <v>133</v>
      </c>
      <c r="C1330" s="65" t="s">
        <v>130</v>
      </c>
      <c r="D1330" s="65" t="s">
        <v>139</v>
      </c>
      <c r="E1330" s="65" t="s">
        <v>133</v>
      </c>
    </row>
    <row r="1331" spans="1:5" x14ac:dyDescent="0.45">
      <c r="A1331">
        <v>20240406</v>
      </c>
      <c r="B1331" s="65" t="s">
        <v>133</v>
      </c>
      <c r="C1331" s="65" t="s">
        <v>130</v>
      </c>
      <c r="D1331" s="65" t="s">
        <v>134</v>
      </c>
      <c r="E1331" s="65" t="s">
        <v>133</v>
      </c>
    </row>
    <row r="1332" spans="1:5" x14ac:dyDescent="0.45">
      <c r="A1332">
        <v>20240407</v>
      </c>
      <c r="B1332" s="65" t="s">
        <v>133</v>
      </c>
      <c r="C1332" s="65" t="s">
        <v>130</v>
      </c>
      <c r="D1332" s="65" t="s">
        <v>134</v>
      </c>
      <c r="E1332" s="65" t="s">
        <v>133</v>
      </c>
    </row>
    <row r="1333" spans="1:5" x14ac:dyDescent="0.45">
      <c r="A1333">
        <v>20240413</v>
      </c>
      <c r="B1333" s="65" t="s">
        <v>133</v>
      </c>
      <c r="C1333" s="65" t="s">
        <v>130</v>
      </c>
      <c r="D1333" s="65" t="s">
        <v>134</v>
      </c>
      <c r="E1333" s="65" t="s">
        <v>133</v>
      </c>
    </row>
    <row r="1334" spans="1:5" x14ac:dyDescent="0.45">
      <c r="A1334">
        <v>20240414</v>
      </c>
      <c r="B1334" s="65" t="s">
        <v>133</v>
      </c>
      <c r="C1334" s="65" t="s">
        <v>130</v>
      </c>
      <c r="D1334" s="65" t="s">
        <v>134</v>
      </c>
      <c r="E1334" s="65" t="s">
        <v>133</v>
      </c>
    </row>
    <row r="1335" spans="1:5" x14ac:dyDescent="0.45">
      <c r="A1335">
        <v>20240420</v>
      </c>
      <c r="B1335" s="65" t="s">
        <v>133</v>
      </c>
      <c r="C1335" s="65" t="s">
        <v>130</v>
      </c>
      <c r="D1335" s="65" t="s">
        <v>134</v>
      </c>
      <c r="E1335" s="65" t="s">
        <v>133</v>
      </c>
    </row>
    <row r="1336" spans="1:5" x14ac:dyDescent="0.45">
      <c r="A1336">
        <v>20240421</v>
      </c>
      <c r="B1336" s="65" t="s">
        <v>133</v>
      </c>
      <c r="C1336" s="65" t="s">
        <v>130</v>
      </c>
      <c r="D1336" s="65" t="s">
        <v>134</v>
      </c>
      <c r="E1336" s="65" t="s">
        <v>133</v>
      </c>
    </row>
    <row r="1337" spans="1:5" x14ac:dyDescent="0.45">
      <c r="A1337">
        <v>20240427</v>
      </c>
      <c r="B1337" s="65" t="s">
        <v>133</v>
      </c>
      <c r="C1337" s="65" t="s">
        <v>130</v>
      </c>
      <c r="D1337" s="65" t="s">
        <v>134</v>
      </c>
      <c r="E1337" s="65" t="s">
        <v>133</v>
      </c>
    </row>
    <row r="1338" spans="1:5" x14ac:dyDescent="0.45">
      <c r="A1338">
        <v>20240428</v>
      </c>
      <c r="B1338" s="65" t="s">
        <v>133</v>
      </c>
      <c r="C1338" s="65" t="s">
        <v>130</v>
      </c>
      <c r="D1338" s="65" t="s">
        <v>134</v>
      </c>
      <c r="E1338" s="65" t="s">
        <v>133</v>
      </c>
    </row>
    <row r="1339" spans="1:5" x14ac:dyDescent="0.45">
      <c r="A1339">
        <v>20240504</v>
      </c>
      <c r="B1339" s="65" t="s">
        <v>133</v>
      </c>
      <c r="C1339" s="65" t="s">
        <v>130</v>
      </c>
      <c r="D1339" s="65" t="s">
        <v>134</v>
      </c>
      <c r="E1339" s="65" t="s">
        <v>133</v>
      </c>
    </row>
    <row r="1340" spans="1:5" x14ac:dyDescent="0.45">
      <c r="A1340">
        <v>20240505</v>
      </c>
      <c r="B1340" s="65" t="s">
        <v>133</v>
      </c>
      <c r="C1340" s="65" t="s">
        <v>130</v>
      </c>
      <c r="D1340" s="65" t="s">
        <v>134</v>
      </c>
      <c r="E1340" s="65" t="s">
        <v>133</v>
      </c>
    </row>
    <row r="1341" spans="1:5" x14ac:dyDescent="0.45">
      <c r="A1341">
        <v>20240511</v>
      </c>
      <c r="B1341" s="65" t="s">
        <v>133</v>
      </c>
      <c r="C1341" s="65" t="s">
        <v>130</v>
      </c>
      <c r="D1341" s="65" t="s">
        <v>134</v>
      </c>
      <c r="E1341" s="65" t="s">
        <v>133</v>
      </c>
    </row>
    <row r="1342" spans="1:5" x14ac:dyDescent="0.45">
      <c r="A1342">
        <v>20240512</v>
      </c>
      <c r="B1342" s="65" t="s">
        <v>133</v>
      </c>
      <c r="C1342" s="65" t="s">
        <v>130</v>
      </c>
      <c r="D1342" s="65" t="s">
        <v>134</v>
      </c>
      <c r="E1342" s="65" t="s">
        <v>133</v>
      </c>
    </row>
    <row r="1343" spans="1:5" x14ac:dyDescent="0.45">
      <c r="A1343">
        <v>20240518</v>
      </c>
      <c r="B1343" s="65" t="s">
        <v>133</v>
      </c>
      <c r="C1343" s="65" t="s">
        <v>130</v>
      </c>
      <c r="D1343" s="65" t="s">
        <v>134</v>
      </c>
      <c r="E1343" s="65" t="s">
        <v>133</v>
      </c>
    </row>
    <row r="1344" spans="1:5" x14ac:dyDescent="0.45">
      <c r="A1344">
        <v>20240519</v>
      </c>
      <c r="B1344" s="65" t="s">
        <v>133</v>
      </c>
      <c r="C1344" s="65" t="s">
        <v>130</v>
      </c>
      <c r="D1344" s="65" t="s">
        <v>134</v>
      </c>
      <c r="E1344" s="65" t="s">
        <v>133</v>
      </c>
    </row>
    <row r="1345" spans="1:5" x14ac:dyDescent="0.45">
      <c r="A1345">
        <v>20240525</v>
      </c>
      <c r="B1345" s="65" t="s">
        <v>133</v>
      </c>
      <c r="C1345" s="65" t="s">
        <v>130</v>
      </c>
      <c r="D1345" s="65" t="s">
        <v>134</v>
      </c>
      <c r="E1345" s="65" t="s">
        <v>133</v>
      </c>
    </row>
    <row r="1346" spans="1:5" x14ac:dyDescent="0.45">
      <c r="A1346">
        <v>20240526</v>
      </c>
      <c r="B1346" s="65" t="s">
        <v>133</v>
      </c>
      <c r="C1346" s="65" t="s">
        <v>130</v>
      </c>
      <c r="D1346" s="65" t="s">
        <v>134</v>
      </c>
      <c r="E1346" s="65" t="s">
        <v>133</v>
      </c>
    </row>
    <row r="1347" spans="1:5" x14ac:dyDescent="0.45">
      <c r="A1347">
        <v>20240601</v>
      </c>
      <c r="B1347" s="65" t="s">
        <v>133</v>
      </c>
      <c r="C1347" s="65" t="s">
        <v>130</v>
      </c>
      <c r="D1347" s="65" t="s">
        <v>134</v>
      </c>
      <c r="E1347" s="65" t="s">
        <v>133</v>
      </c>
    </row>
    <row r="1348" spans="1:5" x14ac:dyDescent="0.45">
      <c r="A1348">
        <v>20240602</v>
      </c>
      <c r="B1348" s="65" t="s">
        <v>133</v>
      </c>
      <c r="C1348" s="65" t="s">
        <v>130</v>
      </c>
      <c r="D1348" s="65" t="s">
        <v>134</v>
      </c>
      <c r="E1348" s="65" t="s">
        <v>133</v>
      </c>
    </row>
    <row r="1349" spans="1:5" x14ac:dyDescent="0.45">
      <c r="A1349">
        <v>20240608</v>
      </c>
      <c r="B1349" s="65" t="s">
        <v>133</v>
      </c>
      <c r="C1349" s="65" t="s">
        <v>130</v>
      </c>
      <c r="D1349" s="65" t="s">
        <v>134</v>
      </c>
      <c r="E1349" s="65" t="s">
        <v>133</v>
      </c>
    </row>
    <row r="1350" spans="1:5" x14ac:dyDescent="0.45">
      <c r="A1350">
        <v>20240609</v>
      </c>
      <c r="B1350" s="65" t="s">
        <v>133</v>
      </c>
      <c r="C1350" s="65" t="s">
        <v>130</v>
      </c>
      <c r="D1350" s="65" t="s">
        <v>134</v>
      </c>
      <c r="E1350" s="65" t="s">
        <v>133</v>
      </c>
    </row>
    <row r="1351" spans="1:5" x14ac:dyDescent="0.45">
      <c r="A1351">
        <v>20240610</v>
      </c>
      <c r="B1351" s="65" t="s">
        <v>153</v>
      </c>
      <c r="C1351" s="65" t="s">
        <v>130</v>
      </c>
      <c r="D1351" s="65" t="s">
        <v>131</v>
      </c>
      <c r="E1351" s="65" t="s">
        <v>132</v>
      </c>
    </row>
    <row r="1352" spans="1:5" x14ac:dyDescent="0.45">
      <c r="A1352">
        <v>20240615</v>
      </c>
      <c r="B1352" s="65" t="s">
        <v>133</v>
      </c>
      <c r="C1352" s="65" t="s">
        <v>130</v>
      </c>
      <c r="D1352" s="65" t="s">
        <v>134</v>
      </c>
      <c r="E1352" s="65" t="s">
        <v>133</v>
      </c>
    </row>
    <row r="1353" spans="1:5" x14ac:dyDescent="0.45">
      <c r="A1353">
        <v>20240616</v>
      </c>
      <c r="B1353" s="65" t="s">
        <v>133</v>
      </c>
      <c r="C1353" s="65" t="s">
        <v>130</v>
      </c>
      <c r="D1353" s="65" t="s">
        <v>134</v>
      </c>
      <c r="E1353" s="65" t="s">
        <v>133</v>
      </c>
    </row>
    <row r="1354" spans="1:5" x14ac:dyDescent="0.45">
      <c r="A1354">
        <v>20240622</v>
      </c>
      <c r="B1354" s="65" t="s">
        <v>133</v>
      </c>
      <c r="C1354" s="65" t="s">
        <v>130</v>
      </c>
      <c r="D1354" s="65" t="s">
        <v>134</v>
      </c>
      <c r="E1354" s="65" t="s">
        <v>133</v>
      </c>
    </row>
    <row r="1355" spans="1:5" x14ac:dyDescent="0.45">
      <c r="A1355">
        <v>20240623</v>
      </c>
      <c r="B1355" s="65" t="s">
        <v>133</v>
      </c>
      <c r="C1355" s="65" t="s">
        <v>130</v>
      </c>
      <c r="D1355" s="65" t="s">
        <v>134</v>
      </c>
      <c r="E1355" s="65" t="s">
        <v>133</v>
      </c>
    </row>
    <row r="1356" spans="1:5" x14ac:dyDescent="0.45">
      <c r="A1356">
        <v>20240629</v>
      </c>
      <c r="B1356" s="65" t="s">
        <v>133</v>
      </c>
      <c r="C1356" s="65" t="s">
        <v>130</v>
      </c>
      <c r="D1356" s="65" t="s">
        <v>134</v>
      </c>
      <c r="E1356" s="65" t="s">
        <v>133</v>
      </c>
    </row>
    <row r="1357" spans="1:5" x14ac:dyDescent="0.45">
      <c r="A1357">
        <v>20240630</v>
      </c>
      <c r="B1357" s="65" t="s">
        <v>133</v>
      </c>
      <c r="C1357" s="65" t="s">
        <v>130</v>
      </c>
      <c r="D1357" s="65" t="s">
        <v>134</v>
      </c>
      <c r="E1357" s="65" t="s">
        <v>133</v>
      </c>
    </row>
    <row r="1358" spans="1:5" x14ac:dyDescent="0.45">
      <c r="A1358">
        <v>20240706</v>
      </c>
      <c r="B1358" s="65" t="s">
        <v>133</v>
      </c>
      <c r="C1358" s="65" t="s">
        <v>130</v>
      </c>
      <c r="D1358" s="65" t="s">
        <v>134</v>
      </c>
      <c r="E1358" s="65" t="s">
        <v>133</v>
      </c>
    </row>
    <row r="1359" spans="1:5" x14ac:dyDescent="0.45">
      <c r="A1359">
        <v>20240707</v>
      </c>
      <c r="B1359" s="65" t="s">
        <v>133</v>
      </c>
      <c r="C1359" s="65" t="s">
        <v>130</v>
      </c>
      <c r="D1359" s="65" t="s">
        <v>134</v>
      </c>
      <c r="E1359" s="65" t="s">
        <v>133</v>
      </c>
    </row>
    <row r="1360" spans="1:5" x14ac:dyDescent="0.45">
      <c r="A1360">
        <v>20240713</v>
      </c>
      <c r="B1360" s="65" t="s">
        <v>133</v>
      </c>
      <c r="C1360" s="65" t="s">
        <v>130</v>
      </c>
      <c r="D1360" s="65" t="s">
        <v>134</v>
      </c>
      <c r="E1360" s="65" t="s">
        <v>133</v>
      </c>
    </row>
    <row r="1361" spans="1:5" x14ac:dyDescent="0.45">
      <c r="A1361">
        <v>20240714</v>
      </c>
      <c r="B1361" s="65" t="s">
        <v>133</v>
      </c>
      <c r="C1361" s="65" t="s">
        <v>130</v>
      </c>
      <c r="D1361" s="65" t="s">
        <v>134</v>
      </c>
      <c r="E1361" s="65" t="s">
        <v>133</v>
      </c>
    </row>
    <row r="1362" spans="1:5" x14ac:dyDescent="0.45">
      <c r="A1362">
        <v>20240720</v>
      </c>
      <c r="B1362" s="65" t="s">
        <v>133</v>
      </c>
      <c r="C1362" s="65" t="s">
        <v>130</v>
      </c>
      <c r="D1362" s="65" t="s">
        <v>134</v>
      </c>
      <c r="E1362" s="65" t="s">
        <v>133</v>
      </c>
    </row>
    <row r="1363" spans="1:5" x14ac:dyDescent="0.45">
      <c r="A1363">
        <v>20240721</v>
      </c>
      <c r="B1363" s="65" t="s">
        <v>133</v>
      </c>
      <c r="C1363" s="65" t="s">
        <v>130</v>
      </c>
      <c r="D1363" s="65" t="s">
        <v>134</v>
      </c>
      <c r="E1363" s="65" t="s">
        <v>133</v>
      </c>
    </row>
    <row r="1364" spans="1:5" x14ac:dyDescent="0.45">
      <c r="A1364">
        <v>20240727</v>
      </c>
      <c r="B1364" s="65" t="s">
        <v>133</v>
      </c>
      <c r="C1364" s="65" t="s">
        <v>130</v>
      </c>
      <c r="D1364" s="65" t="s">
        <v>134</v>
      </c>
      <c r="E1364" s="65" t="s">
        <v>133</v>
      </c>
    </row>
    <row r="1365" spans="1:5" x14ac:dyDescent="0.45">
      <c r="A1365">
        <v>20240728</v>
      </c>
      <c r="B1365" s="65" t="s">
        <v>133</v>
      </c>
      <c r="C1365" s="65" t="s">
        <v>130</v>
      </c>
      <c r="D1365" s="65" t="s">
        <v>134</v>
      </c>
      <c r="E1365" s="65" t="s">
        <v>133</v>
      </c>
    </row>
    <row r="1366" spans="1:5" x14ac:dyDescent="0.45">
      <c r="A1366">
        <v>20240803</v>
      </c>
      <c r="B1366" s="65" t="s">
        <v>133</v>
      </c>
      <c r="C1366" s="65" t="s">
        <v>130</v>
      </c>
      <c r="D1366" s="65" t="s">
        <v>134</v>
      </c>
      <c r="E1366" s="65" t="s">
        <v>133</v>
      </c>
    </row>
    <row r="1367" spans="1:5" x14ac:dyDescent="0.45">
      <c r="A1367">
        <v>20240804</v>
      </c>
      <c r="B1367" s="65" t="s">
        <v>133</v>
      </c>
      <c r="C1367" s="65" t="s">
        <v>130</v>
      </c>
      <c r="D1367" s="65" t="s">
        <v>134</v>
      </c>
      <c r="E1367" s="65" t="s">
        <v>133</v>
      </c>
    </row>
    <row r="1368" spans="1:5" x14ac:dyDescent="0.45">
      <c r="A1368">
        <v>20240810</v>
      </c>
      <c r="B1368" s="65" t="s">
        <v>133</v>
      </c>
      <c r="C1368" s="65" t="s">
        <v>130</v>
      </c>
      <c r="D1368" s="65" t="s">
        <v>134</v>
      </c>
      <c r="E1368" s="65" t="s">
        <v>133</v>
      </c>
    </row>
    <row r="1369" spans="1:5" x14ac:dyDescent="0.45">
      <c r="A1369">
        <v>20240811</v>
      </c>
      <c r="B1369" s="65" t="s">
        <v>133</v>
      </c>
      <c r="C1369" s="65" t="s">
        <v>130</v>
      </c>
      <c r="D1369" s="65" t="s">
        <v>134</v>
      </c>
      <c r="E1369" s="65" t="s">
        <v>133</v>
      </c>
    </row>
    <row r="1370" spans="1:5" x14ac:dyDescent="0.45">
      <c r="A1370">
        <v>20240817</v>
      </c>
      <c r="B1370" s="65" t="s">
        <v>133</v>
      </c>
      <c r="C1370" s="65" t="s">
        <v>130</v>
      </c>
      <c r="D1370" s="65" t="s">
        <v>134</v>
      </c>
      <c r="E1370" s="65" t="s">
        <v>133</v>
      </c>
    </row>
    <row r="1371" spans="1:5" x14ac:dyDescent="0.45">
      <c r="A1371">
        <v>20240818</v>
      </c>
      <c r="B1371" s="65" t="s">
        <v>133</v>
      </c>
      <c r="C1371" s="65" t="s">
        <v>130</v>
      </c>
      <c r="D1371" s="65" t="s">
        <v>134</v>
      </c>
      <c r="E1371" s="65" t="s">
        <v>133</v>
      </c>
    </row>
    <row r="1372" spans="1:5" x14ac:dyDescent="0.45">
      <c r="A1372">
        <v>20240824</v>
      </c>
      <c r="B1372" s="65" t="s">
        <v>133</v>
      </c>
      <c r="C1372" s="65" t="s">
        <v>130</v>
      </c>
      <c r="D1372" s="65" t="s">
        <v>134</v>
      </c>
      <c r="E1372" s="65" t="s">
        <v>133</v>
      </c>
    </row>
    <row r="1373" spans="1:5" x14ac:dyDescent="0.45">
      <c r="A1373">
        <v>20240825</v>
      </c>
      <c r="B1373" s="65" t="s">
        <v>133</v>
      </c>
      <c r="C1373" s="65" t="s">
        <v>130</v>
      </c>
      <c r="D1373" s="65" t="s">
        <v>134</v>
      </c>
      <c r="E1373" s="65" t="s">
        <v>133</v>
      </c>
    </row>
    <row r="1374" spans="1:5" x14ac:dyDescent="0.45">
      <c r="A1374">
        <v>20240831</v>
      </c>
      <c r="B1374" s="65" t="s">
        <v>133</v>
      </c>
      <c r="C1374" s="65" t="s">
        <v>130</v>
      </c>
      <c r="D1374" s="65" t="s">
        <v>134</v>
      </c>
      <c r="E1374" s="65" t="s">
        <v>133</v>
      </c>
    </row>
    <row r="1375" spans="1:5" x14ac:dyDescent="0.45">
      <c r="A1375">
        <v>20240901</v>
      </c>
      <c r="B1375" s="65" t="s">
        <v>133</v>
      </c>
      <c r="C1375" s="65" t="s">
        <v>130</v>
      </c>
      <c r="D1375" s="65" t="s">
        <v>134</v>
      </c>
      <c r="E1375" s="65" t="s">
        <v>133</v>
      </c>
    </row>
    <row r="1376" spans="1:5" x14ac:dyDescent="0.45">
      <c r="A1376">
        <v>20240907</v>
      </c>
      <c r="B1376" s="65" t="s">
        <v>133</v>
      </c>
      <c r="C1376" s="65" t="s">
        <v>130</v>
      </c>
      <c r="D1376" s="65" t="s">
        <v>134</v>
      </c>
      <c r="E1376" s="65" t="s">
        <v>133</v>
      </c>
    </row>
    <row r="1377" spans="1:5" x14ac:dyDescent="0.45">
      <c r="A1377">
        <v>20240908</v>
      </c>
      <c r="B1377" s="65" t="s">
        <v>133</v>
      </c>
      <c r="C1377" s="65" t="s">
        <v>130</v>
      </c>
      <c r="D1377" s="65" t="s">
        <v>134</v>
      </c>
      <c r="E1377" s="65" t="s">
        <v>133</v>
      </c>
    </row>
    <row r="1378" spans="1:5" x14ac:dyDescent="0.45">
      <c r="A1378">
        <v>20240914</v>
      </c>
      <c r="B1378" s="65" t="s">
        <v>133</v>
      </c>
      <c r="C1378" s="65" t="s">
        <v>130</v>
      </c>
      <c r="D1378" s="65" t="s">
        <v>134</v>
      </c>
      <c r="E1378" s="65" t="s">
        <v>133</v>
      </c>
    </row>
    <row r="1379" spans="1:5" x14ac:dyDescent="0.45">
      <c r="A1379">
        <v>20240915</v>
      </c>
      <c r="B1379" s="65" t="s">
        <v>133</v>
      </c>
      <c r="C1379" s="65" t="s">
        <v>130</v>
      </c>
      <c r="D1379" s="65" t="s">
        <v>134</v>
      </c>
      <c r="E1379" s="65" t="s">
        <v>133</v>
      </c>
    </row>
    <row r="1380" spans="1:5" x14ac:dyDescent="0.45">
      <c r="A1380">
        <v>20240917</v>
      </c>
      <c r="B1380" s="65" t="s">
        <v>154</v>
      </c>
      <c r="C1380" s="65" t="s">
        <v>130</v>
      </c>
      <c r="D1380" s="65" t="s">
        <v>131</v>
      </c>
      <c r="E1380" s="65" t="s">
        <v>132</v>
      </c>
    </row>
    <row r="1381" spans="1:5" x14ac:dyDescent="0.45">
      <c r="A1381">
        <v>20240921</v>
      </c>
      <c r="B1381" s="65" t="s">
        <v>133</v>
      </c>
      <c r="C1381" s="65" t="s">
        <v>130</v>
      </c>
      <c r="D1381" s="65" t="s">
        <v>134</v>
      </c>
      <c r="E1381" s="65" t="s">
        <v>133</v>
      </c>
    </row>
    <row r="1382" spans="1:5" x14ac:dyDescent="0.45">
      <c r="A1382">
        <v>20240922</v>
      </c>
      <c r="B1382" s="65" t="s">
        <v>133</v>
      </c>
      <c r="C1382" s="65" t="s">
        <v>130</v>
      </c>
      <c r="D1382" s="65" t="s">
        <v>134</v>
      </c>
      <c r="E1382" s="65" t="s">
        <v>133</v>
      </c>
    </row>
    <row r="1383" spans="1:5" x14ac:dyDescent="0.45">
      <c r="A1383">
        <v>20240928</v>
      </c>
      <c r="B1383" s="65" t="s">
        <v>133</v>
      </c>
      <c r="C1383" s="65" t="s">
        <v>130</v>
      </c>
      <c r="D1383" s="65" t="s">
        <v>134</v>
      </c>
      <c r="E1383" s="65" t="s">
        <v>133</v>
      </c>
    </row>
    <row r="1384" spans="1:5" x14ac:dyDescent="0.45">
      <c r="A1384">
        <v>20240929</v>
      </c>
      <c r="B1384" s="65" t="s">
        <v>133</v>
      </c>
      <c r="C1384" s="65" t="s">
        <v>130</v>
      </c>
      <c r="D1384" s="65" t="s">
        <v>134</v>
      </c>
      <c r="E1384" s="65" t="s">
        <v>133</v>
      </c>
    </row>
    <row r="1385" spans="1:5" x14ac:dyDescent="0.45">
      <c r="A1385">
        <v>20241005</v>
      </c>
      <c r="B1385" s="65" t="s">
        <v>133</v>
      </c>
      <c r="C1385" s="65" t="s">
        <v>130</v>
      </c>
      <c r="D1385" s="65" t="s">
        <v>134</v>
      </c>
      <c r="E1385" s="65" t="s">
        <v>133</v>
      </c>
    </row>
    <row r="1386" spans="1:5" x14ac:dyDescent="0.45">
      <c r="A1386">
        <v>20241006</v>
      </c>
      <c r="B1386" s="65" t="s">
        <v>133</v>
      </c>
      <c r="C1386" s="65" t="s">
        <v>130</v>
      </c>
      <c r="D1386" s="65" t="s">
        <v>134</v>
      </c>
      <c r="E1386" s="65" t="s">
        <v>133</v>
      </c>
    </row>
    <row r="1387" spans="1:5" x14ac:dyDescent="0.45">
      <c r="A1387">
        <v>20241010</v>
      </c>
      <c r="B1387" s="65" t="s">
        <v>158</v>
      </c>
      <c r="C1387" s="65" t="s">
        <v>130</v>
      </c>
      <c r="D1387" s="65" t="s">
        <v>131</v>
      </c>
      <c r="E1387" s="65" t="s">
        <v>132</v>
      </c>
    </row>
    <row r="1388" spans="1:5" x14ac:dyDescent="0.45">
      <c r="A1388">
        <v>20241012</v>
      </c>
      <c r="B1388" s="65" t="s">
        <v>133</v>
      </c>
      <c r="C1388" s="65" t="s">
        <v>130</v>
      </c>
      <c r="D1388" s="65" t="s">
        <v>134</v>
      </c>
      <c r="E1388" s="65" t="s">
        <v>133</v>
      </c>
    </row>
    <row r="1389" spans="1:5" x14ac:dyDescent="0.45">
      <c r="A1389">
        <v>20241013</v>
      </c>
      <c r="B1389" s="65" t="s">
        <v>133</v>
      </c>
      <c r="C1389" s="65" t="s">
        <v>130</v>
      </c>
      <c r="D1389" s="65" t="s">
        <v>134</v>
      </c>
      <c r="E1389" s="65" t="s">
        <v>133</v>
      </c>
    </row>
    <row r="1390" spans="1:5" x14ac:dyDescent="0.45">
      <c r="A1390">
        <v>20241019</v>
      </c>
      <c r="B1390" s="65" t="s">
        <v>133</v>
      </c>
      <c r="C1390" s="65" t="s">
        <v>130</v>
      </c>
      <c r="D1390" s="65" t="s">
        <v>134</v>
      </c>
      <c r="E1390" s="65" t="s">
        <v>133</v>
      </c>
    </row>
    <row r="1391" spans="1:5" x14ac:dyDescent="0.45">
      <c r="A1391">
        <v>20241020</v>
      </c>
      <c r="B1391" s="65" t="s">
        <v>133</v>
      </c>
      <c r="C1391" s="65" t="s">
        <v>130</v>
      </c>
      <c r="D1391" s="65" t="s">
        <v>134</v>
      </c>
      <c r="E1391" s="65" t="s">
        <v>133</v>
      </c>
    </row>
    <row r="1392" spans="1:5" x14ac:dyDescent="0.45">
      <c r="A1392">
        <v>20241026</v>
      </c>
      <c r="B1392" s="65" t="s">
        <v>133</v>
      </c>
      <c r="C1392" s="65" t="s">
        <v>130</v>
      </c>
      <c r="D1392" s="65" t="s">
        <v>134</v>
      </c>
      <c r="E1392" s="65" t="s">
        <v>133</v>
      </c>
    </row>
    <row r="1393" spans="1:5" x14ac:dyDescent="0.45">
      <c r="A1393">
        <v>20241027</v>
      </c>
      <c r="B1393" s="65" t="s">
        <v>133</v>
      </c>
      <c r="C1393" s="65" t="s">
        <v>130</v>
      </c>
      <c r="D1393" s="65" t="s">
        <v>134</v>
      </c>
      <c r="E1393" s="65" t="s">
        <v>133</v>
      </c>
    </row>
    <row r="1394" spans="1:5" x14ac:dyDescent="0.45">
      <c r="A1394">
        <v>20241102</v>
      </c>
      <c r="B1394" s="65" t="s">
        <v>133</v>
      </c>
      <c r="C1394" s="65" t="s">
        <v>130</v>
      </c>
      <c r="D1394" s="65" t="s">
        <v>134</v>
      </c>
      <c r="E1394" s="65" t="s">
        <v>133</v>
      </c>
    </row>
    <row r="1395" spans="1:5" x14ac:dyDescent="0.45">
      <c r="A1395">
        <v>20241103</v>
      </c>
      <c r="B1395" s="65" t="s">
        <v>133</v>
      </c>
      <c r="C1395" s="65" t="s">
        <v>130</v>
      </c>
      <c r="D1395" s="65" t="s">
        <v>134</v>
      </c>
      <c r="E1395" s="65" t="s">
        <v>133</v>
      </c>
    </row>
    <row r="1396" spans="1:5" x14ac:dyDescent="0.45">
      <c r="A1396">
        <v>20241109</v>
      </c>
      <c r="B1396" s="65" t="s">
        <v>133</v>
      </c>
      <c r="C1396" s="65" t="s">
        <v>130</v>
      </c>
      <c r="D1396" s="65" t="s">
        <v>134</v>
      </c>
      <c r="E1396" s="65" t="s">
        <v>133</v>
      </c>
    </row>
    <row r="1397" spans="1:5" x14ac:dyDescent="0.45">
      <c r="A1397">
        <v>20241110</v>
      </c>
      <c r="B1397" s="65" t="s">
        <v>133</v>
      </c>
      <c r="C1397" s="65" t="s">
        <v>130</v>
      </c>
      <c r="D1397" s="65" t="s">
        <v>134</v>
      </c>
      <c r="E1397" s="65" t="s">
        <v>133</v>
      </c>
    </row>
    <row r="1398" spans="1:5" x14ac:dyDescent="0.45">
      <c r="A1398">
        <v>20241116</v>
      </c>
      <c r="B1398" s="65" t="s">
        <v>133</v>
      </c>
      <c r="C1398" s="65" t="s">
        <v>130</v>
      </c>
      <c r="D1398" s="65" t="s">
        <v>134</v>
      </c>
      <c r="E1398" s="65" t="s">
        <v>133</v>
      </c>
    </row>
    <row r="1399" spans="1:5" x14ac:dyDescent="0.45">
      <c r="A1399">
        <v>20241117</v>
      </c>
      <c r="B1399" s="65" t="s">
        <v>133</v>
      </c>
      <c r="C1399" s="65" t="s">
        <v>130</v>
      </c>
      <c r="D1399" s="65" t="s">
        <v>134</v>
      </c>
      <c r="E1399" s="65" t="s">
        <v>133</v>
      </c>
    </row>
    <row r="1400" spans="1:5" x14ac:dyDescent="0.45">
      <c r="A1400">
        <v>20241123</v>
      </c>
      <c r="B1400" s="65" t="s">
        <v>133</v>
      </c>
      <c r="C1400" s="65" t="s">
        <v>130</v>
      </c>
      <c r="D1400" s="65" t="s">
        <v>134</v>
      </c>
      <c r="E1400" s="65" t="s">
        <v>133</v>
      </c>
    </row>
    <row r="1401" spans="1:5" x14ac:dyDescent="0.45">
      <c r="A1401">
        <v>20241124</v>
      </c>
      <c r="B1401" s="65" t="s">
        <v>133</v>
      </c>
      <c r="C1401" s="65" t="s">
        <v>130</v>
      </c>
      <c r="D1401" s="65" t="s">
        <v>134</v>
      </c>
      <c r="E1401" s="65" t="s">
        <v>133</v>
      </c>
    </row>
    <row r="1402" spans="1:5" x14ac:dyDescent="0.45">
      <c r="A1402">
        <v>20241130</v>
      </c>
      <c r="B1402" s="65" t="s">
        <v>133</v>
      </c>
      <c r="C1402" s="65" t="s">
        <v>130</v>
      </c>
      <c r="D1402" s="65" t="s">
        <v>134</v>
      </c>
      <c r="E1402" s="65" t="s">
        <v>133</v>
      </c>
    </row>
    <row r="1403" spans="1:5" x14ac:dyDescent="0.45">
      <c r="A1403">
        <v>20241201</v>
      </c>
      <c r="B1403" s="65" t="s">
        <v>133</v>
      </c>
      <c r="C1403" s="65" t="s">
        <v>130</v>
      </c>
      <c r="D1403" s="65" t="s">
        <v>134</v>
      </c>
      <c r="E1403" s="65" t="s">
        <v>133</v>
      </c>
    </row>
    <row r="1404" spans="1:5" x14ac:dyDescent="0.45">
      <c r="A1404">
        <v>20241207</v>
      </c>
      <c r="B1404" s="65" t="s">
        <v>133</v>
      </c>
      <c r="C1404" s="65" t="s">
        <v>130</v>
      </c>
      <c r="D1404" s="65" t="s">
        <v>134</v>
      </c>
      <c r="E1404" s="65" t="s">
        <v>133</v>
      </c>
    </row>
    <row r="1405" spans="1:5" x14ac:dyDescent="0.45">
      <c r="A1405">
        <v>20241208</v>
      </c>
      <c r="B1405" s="65" t="s">
        <v>133</v>
      </c>
      <c r="C1405" s="65" t="s">
        <v>130</v>
      </c>
      <c r="D1405" s="65" t="s">
        <v>134</v>
      </c>
      <c r="E1405" s="65" t="s">
        <v>133</v>
      </c>
    </row>
    <row r="1406" spans="1:5" x14ac:dyDescent="0.45">
      <c r="A1406">
        <v>20241214</v>
      </c>
      <c r="B1406" s="65" t="s">
        <v>133</v>
      </c>
      <c r="C1406" s="65" t="s">
        <v>130</v>
      </c>
      <c r="D1406" s="65" t="s">
        <v>134</v>
      </c>
      <c r="E1406" s="65" t="s">
        <v>133</v>
      </c>
    </row>
    <row r="1407" spans="1:5" x14ac:dyDescent="0.45">
      <c r="A1407">
        <v>20241215</v>
      </c>
      <c r="B1407" s="65" t="s">
        <v>133</v>
      </c>
      <c r="C1407" s="65" t="s">
        <v>130</v>
      </c>
      <c r="D1407" s="65" t="s">
        <v>134</v>
      </c>
      <c r="E1407" s="65" t="s">
        <v>133</v>
      </c>
    </row>
    <row r="1408" spans="1:5" x14ac:dyDescent="0.45">
      <c r="A1408">
        <v>20241221</v>
      </c>
      <c r="B1408" s="65" t="s">
        <v>133</v>
      </c>
      <c r="C1408" s="65" t="s">
        <v>130</v>
      </c>
      <c r="D1408" s="65" t="s">
        <v>134</v>
      </c>
      <c r="E1408" s="65" t="s">
        <v>133</v>
      </c>
    </row>
    <row r="1409" spans="1:5" x14ac:dyDescent="0.45">
      <c r="A1409">
        <v>20241222</v>
      </c>
      <c r="B1409" s="65" t="s">
        <v>133</v>
      </c>
      <c r="C1409" s="65" t="s">
        <v>130</v>
      </c>
      <c r="D1409" s="65" t="s">
        <v>134</v>
      </c>
      <c r="E1409" s="65" t="s">
        <v>133</v>
      </c>
    </row>
    <row r="1410" spans="1:5" x14ac:dyDescent="0.45">
      <c r="A1410">
        <v>20241228</v>
      </c>
      <c r="B1410" s="65" t="s">
        <v>133</v>
      </c>
      <c r="C1410" s="65" t="s">
        <v>130</v>
      </c>
      <c r="D1410" s="65" t="s">
        <v>134</v>
      </c>
      <c r="E1410" s="65" t="s">
        <v>133</v>
      </c>
    </row>
    <row r="1411" spans="1:5" x14ac:dyDescent="0.45">
      <c r="A1411">
        <v>20241229</v>
      </c>
      <c r="B1411" s="65" t="s">
        <v>133</v>
      </c>
      <c r="C1411" s="65" t="s">
        <v>130</v>
      </c>
      <c r="D1411" s="65" t="s">
        <v>134</v>
      </c>
      <c r="E1411" s="65" t="s">
        <v>133</v>
      </c>
    </row>
    <row r="1412" spans="1:5" x14ac:dyDescent="0.45">
      <c r="A1412">
        <v>20250101</v>
      </c>
      <c r="B1412" s="65" t="s">
        <v>129</v>
      </c>
      <c r="C1412" s="65" t="s">
        <v>130</v>
      </c>
      <c r="D1412" s="65" t="s">
        <v>131</v>
      </c>
      <c r="E1412" s="65" t="s">
        <v>132</v>
      </c>
    </row>
    <row r="1413" spans="1:5" x14ac:dyDescent="0.45">
      <c r="A1413">
        <v>20250104</v>
      </c>
      <c r="B1413" s="65" t="s">
        <v>133</v>
      </c>
      <c r="C1413" s="65" t="s">
        <v>130</v>
      </c>
      <c r="D1413" s="65" t="s">
        <v>134</v>
      </c>
      <c r="E1413" s="65" t="s">
        <v>133</v>
      </c>
    </row>
    <row r="1414" spans="1:5" x14ac:dyDescent="0.45">
      <c r="A1414">
        <v>20250105</v>
      </c>
      <c r="B1414" s="65" t="s">
        <v>133</v>
      </c>
      <c r="C1414" s="65" t="s">
        <v>130</v>
      </c>
      <c r="D1414" s="65" t="s">
        <v>134</v>
      </c>
      <c r="E1414" s="65" t="s">
        <v>133</v>
      </c>
    </row>
    <row r="1415" spans="1:5" x14ac:dyDescent="0.45">
      <c r="A1415">
        <v>20250111</v>
      </c>
      <c r="B1415" s="65" t="s">
        <v>133</v>
      </c>
      <c r="C1415" s="65" t="s">
        <v>130</v>
      </c>
      <c r="D1415" s="65" t="s">
        <v>134</v>
      </c>
      <c r="E1415" s="65" t="s">
        <v>133</v>
      </c>
    </row>
    <row r="1416" spans="1:5" x14ac:dyDescent="0.45">
      <c r="A1416">
        <v>20250112</v>
      </c>
      <c r="B1416" s="65" t="s">
        <v>133</v>
      </c>
      <c r="C1416" s="65" t="s">
        <v>130</v>
      </c>
      <c r="D1416" s="65" t="s">
        <v>134</v>
      </c>
      <c r="E1416" s="65" t="s">
        <v>133</v>
      </c>
    </row>
    <row r="1417" spans="1:5" x14ac:dyDescent="0.45">
      <c r="A1417">
        <v>20250118</v>
      </c>
      <c r="B1417" s="65" t="s">
        <v>133</v>
      </c>
      <c r="C1417" s="65" t="s">
        <v>130</v>
      </c>
      <c r="D1417" s="65" t="s">
        <v>134</v>
      </c>
      <c r="E1417" s="65" t="s">
        <v>133</v>
      </c>
    </row>
    <row r="1418" spans="1:5" x14ac:dyDescent="0.45">
      <c r="A1418">
        <v>20250119</v>
      </c>
      <c r="B1418" s="65" t="s">
        <v>133</v>
      </c>
      <c r="C1418" s="65" t="s">
        <v>130</v>
      </c>
      <c r="D1418" s="65" t="s">
        <v>134</v>
      </c>
      <c r="E1418" s="65" t="s">
        <v>133</v>
      </c>
    </row>
    <row r="1419" spans="1:5" x14ac:dyDescent="0.45">
      <c r="A1419">
        <v>20250125</v>
      </c>
      <c r="B1419" s="65" t="s">
        <v>133</v>
      </c>
      <c r="C1419" s="65" t="s">
        <v>130</v>
      </c>
      <c r="D1419" s="65" t="s">
        <v>134</v>
      </c>
      <c r="E1419" s="65" t="s">
        <v>133</v>
      </c>
    </row>
    <row r="1420" spans="1:5" x14ac:dyDescent="0.45">
      <c r="A1420">
        <v>20250126</v>
      </c>
      <c r="B1420" s="65" t="s">
        <v>133</v>
      </c>
      <c r="C1420" s="65" t="s">
        <v>130</v>
      </c>
      <c r="D1420" s="65" t="s">
        <v>134</v>
      </c>
      <c r="E1420" s="65" t="s">
        <v>133</v>
      </c>
    </row>
    <row r="1421" spans="1:5" x14ac:dyDescent="0.45">
      <c r="A1421">
        <v>20250127</v>
      </c>
      <c r="B1421" s="65" t="s">
        <v>133</v>
      </c>
      <c r="C1421" s="65" t="s">
        <v>130</v>
      </c>
      <c r="D1421" s="65" t="s">
        <v>140</v>
      </c>
      <c r="E1421" s="65" t="s">
        <v>133</v>
      </c>
    </row>
    <row r="1422" spans="1:5" x14ac:dyDescent="0.45">
      <c r="A1422">
        <v>20250128</v>
      </c>
      <c r="B1422" s="65" t="s">
        <v>135</v>
      </c>
      <c r="C1422" s="65" t="s">
        <v>130</v>
      </c>
      <c r="D1422" s="65" t="s">
        <v>131</v>
      </c>
      <c r="E1422" s="65" t="s">
        <v>215</v>
      </c>
    </row>
    <row r="1423" spans="1:5" x14ac:dyDescent="0.45">
      <c r="A1423">
        <v>20250129</v>
      </c>
      <c r="B1423" s="65" t="s">
        <v>137</v>
      </c>
      <c r="C1423" s="65" t="s">
        <v>130</v>
      </c>
      <c r="D1423" s="65" t="s">
        <v>131</v>
      </c>
      <c r="E1423" s="65" t="s">
        <v>216</v>
      </c>
    </row>
    <row r="1424" spans="1:5" x14ac:dyDescent="0.45">
      <c r="A1424">
        <v>20250130</v>
      </c>
      <c r="B1424" s="65" t="s">
        <v>137</v>
      </c>
      <c r="C1424" s="65" t="s">
        <v>130</v>
      </c>
      <c r="D1424" s="65" t="s">
        <v>131</v>
      </c>
      <c r="E1424" s="65" t="s">
        <v>133</v>
      </c>
    </row>
    <row r="1425" spans="1:5" x14ac:dyDescent="0.45">
      <c r="A1425">
        <v>20250131</v>
      </c>
      <c r="B1425" s="65" t="s">
        <v>137</v>
      </c>
      <c r="C1425" s="65" t="s">
        <v>130</v>
      </c>
      <c r="D1425" s="65" t="s">
        <v>131</v>
      </c>
      <c r="E1425" s="65" t="s">
        <v>133</v>
      </c>
    </row>
    <row r="1426" spans="1:5" x14ac:dyDescent="0.45">
      <c r="A1426">
        <v>20250201</v>
      </c>
      <c r="B1426" s="65" t="s">
        <v>133</v>
      </c>
      <c r="C1426" s="65" t="s">
        <v>130</v>
      </c>
      <c r="D1426" s="65" t="s">
        <v>134</v>
      </c>
      <c r="E1426" s="65" t="s">
        <v>133</v>
      </c>
    </row>
    <row r="1427" spans="1:5" x14ac:dyDescent="0.45">
      <c r="A1427">
        <v>20250202</v>
      </c>
      <c r="B1427" s="65" t="s">
        <v>133</v>
      </c>
      <c r="C1427" s="65" t="s">
        <v>130</v>
      </c>
      <c r="D1427" s="65" t="s">
        <v>134</v>
      </c>
      <c r="E1427" s="65" t="s">
        <v>133</v>
      </c>
    </row>
    <row r="1428" spans="1:5" x14ac:dyDescent="0.45">
      <c r="A1428">
        <v>20250208</v>
      </c>
      <c r="B1428" s="65" t="s">
        <v>133</v>
      </c>
      <c r="C1428" s="65" t="s">
        <v>142</v>
      </c>
      <c r="D1428" s="65" t="s">
        <v>143</v>
      </c>
      <c r="E1428" s="65" t="s">
        <v>133</v>
      </c>
    </row>
    <row r="1429" spans="1:5" x14ac:dyDescent="0.45">
      <c r="A1429">
        <v>20250209</v>
      </c>
      <c r="B1429" s="65" t="s">
        <v>133</v>
      </c>
      <c r="C1429" s="65" t="s">
        <v>130</v>
      </c>
      <c r="D1429" s="65" t="s">
        <v>134</v>
      </c>
      <c r="E1429" s="65" t="s">
        <v>133</v>
      </c>
    </row>
    <row r="1430" spans="1:5" x14ac:dyDescent="0.45">
      <c r="A1430">
        <v>20250215</v>
      </c>
      <c r="B1430" s="65" t="s">
        <v>133</v>
      </c>
      <c r="C1430" s="65" t="s">
        <v>130</v>
      </c>
      <c r="D1430" s="65" t="s">
        <v>134</v>
      </c>
      <c r="E1430" s="65" t="s">
        <v>133</v>
      </c>
    </row>
    <row r="1431" spans="1:5" x14ac:dyDescent="0.45">
      <c r="A1431">
        <v>20250216</v>
      </c>
      <c r="B1431" s="65" t="s">
        <v>133</v>
      </c>
      <c r="C1431" s="65" t="s">
        <v>130</v>
      </c>
      <c r="D1431" s="65" t="s">
        <v>134</v>
      </c>
      <c r="E1431" s="65" t="s">
        <v>133</v>
      </c>
    </row>
    <row r="1432" spans="1:5" x14ac:dyDescent="0.45">
      <c r="A1432">
        <v>20250222</v>
      </c>
      <c r="B1432" s="65" t="s">
        <v>133</v>
      </c>
      <c r="C1432" s="65" t="s">
        <v>130</v>
      </c>
      <c r="D1432" s="65" t="s">
        <v>134</v>
      </c>
      <c r="E1432" s="65" t="s">
        <v>133</v>
      </c>
    </row>
    <row r="1433" spans="1:5" x14ac:dyDescent="0.45">
      <c r="A1433">
        <v>20250223</v>
      </c>
      <c r="B1433" s="65" t="s">
        <v>133</v>
      </c>
      <c r="C1433" s="65" t="s">
        <v>130</v>
      </c>
      <c r="D1433" s="65" t="s">
        <v>134</v>
      </c>
      <c r="E1433" s="65" t="s">
        <v>133</v>
      </c>
    </row>
    <row r="1434" spans="1:5" x14ac:dyDescent="0.45">
      <c r="A1434">
        <v>20250228</v>
      </c>
      <c r="B1434" s="65" t="s">
        <v>145</v>
      </c>
      <c r="C1434" s="65" t="s">
        <v>130</v>
      </c>
      <c r="D1434" s="65" t="s">
        <v>131</v>
      </c>
      <c r="E1434" s="65" t="s">
        <v>133</v>
      </c>
    </row>
    <row r="1435" spans="1:5" x14ac:dyDescent="0.45">
      <c r="A1435">
        <v>20250301</v>
      </c>
      <c r="B1435" s="65" t="s">
        <v>133</v>
      </c>
      <c r="C1435" s="65" t="s">
        <v>130</v>
      </c>
      <c r="D1435" s="65" t="s">
        <v>134</v>
      </c>
      <c r="E1435" s="65" t="s">
        <v>133</v>
      </c>
    </row>
    <row r="1436" spans="1:5" x14ac:dyDescent="0.45">
      <c r="A1436">
        <v>20250302</v>
      </c>
      <c r="B1436" s="65" t="s">
        <v>133</v>
      </c>
      <c r="C1436" s="65" t="s">
        <v>130</v>
      </c>
      <c r="D1436" s="65" t="s">
        <v>134</v>
      </c>
      <c r="E1436" s="65" t="s">
        <v>133</v>
      </c>
    </row>
    <row r="1437" spans="1:5" x14ac:dyDescent="0.45">
      <c r="A1437">
        <v>20250308</v>
      </c>
      <c r="B1437" s="65" t="s">
        <v>133</v>
      </c>
      <c r="C1437" s="65" t="s">
        <v>130</v>
      </c>
      <c r="D1437" s="65" t="s">
        <v>134</v>
      </c>
      <c r="E1437" s="65" t="s">
        <v>133</v>
      </c>
    </row>
    <row r="1438" spans="1:5" x14ac:dyDescent="0.45">
      <c r="A1438">
        <v>20250309</v>
      </c>
      <c r="B1438" s="65" t="s">
        <v>133</v>
      </c>
      <c r="C1438" s="65" t="s">
        <v>130</v>
      </c>
      <c r="D1438" s="65" t="s">
        <v>134</v>
      </c>
      <c r="E1438" s="65" t="s">
        <v>133</v>
      </c>
    </row>
    <row r="1439" spans="1:5" x14ac:dyDescent="0.45">
      <c r="A1439">
        <v>20250315</v>
      </c>
      <c r="B1439" s="65" t="s">
        <v>133</v>
      </c>
      <c r="C1439" s="65" t="s">
        <v>130</v>
      </c>
      <c r="D1439" s="65" t="s">
        <v>134</v>
      </c>
      <c r="E1439" s="65" t="s">
        <v>133</v>
      </c>
    </row>
    <row r="1440" spans="1:5" x14ac:dyDescent="0.45">
      <c r="A1440">
        <v>20250316</v>
      </c>
      <c r="B1440" s="65" t="s">
        <v>133</v>
      </c>
      <c r="C1440" s="65" t="s">
        <v>130</v>
      </c>
      <c r="D1440" s="65" t="s">
        <v>134</v>
      </c>
      <c r="E1440" s="65" t="s">
        <v>133</v>
      </c>
    </row>
    <row r="1441" spans="1:5" x14ac:dyDescent="0.45">
      <c r="A1441">
        <v>20250322</v>
      </c>
      <c r="B1441" s="65" t="s">
        <v>133</v>
      </c>
      <c r="C1441" s="65" t="s">
        <v>130</v>
      </c>
      <c r="D1441" s="65" t="s">
        <v>134</v>
      </c>
      <c r="E1441" s="65" t="s">
        <v>133</v>
      </c>
    </row>
    <row r="1442" spans="1:5" x14ac:dyDescent="0.45">
      <c r="A1442">
        <v>20250323</v>
      </c>
      <c r="B1442" s="65" t="s">
        <v>133</v>
      </c>
      <c r="C1442" s="65" t="s">
        <v>130</v>
      </c>
      <c r="D1442" s="65" t="s">
        <v>134</v>
      </c>
      <c r="E1442" s="65" t="s">
        <v>133</v>
      </c>
    </row>
    <row r="1443" spans="1:5" x14ac:dyDescent="0.45">
      <c r="A1443">
        <v>20250329</v>
      </c>
      <c r="B1443" s="65" t="s">
        <v>133</v>
      </c>
      <c r="C1443" s="65" t="s">
        <v>130</v>
      </c>
      <c r="D1443" s="65" t="s">
        <v>134</v>
      </c>
      <c r="E1443" s="65" t="s">
        <v>133</v>
      </c>
    </row>
    <row r="1444" spans="1:5" x14ac:dyDescent="0.45">
      <c r="A1444">
        <v>20250330</v>
      </c>
      <c r="B1444" s="65" t="s">
        <v>133</v>
      </c>
      <c r="C1444" s="65" t="s">
        <v>130</v>
      </c>
      <c r="D1444" s="65" t="s">
        <v>134</v>
      </c>
      <c r="E1444" s="65" t="s">
        <v>133</v>
      </c>
    </row>
    <row r="1445" spans="1:5" x14ac:dyDescent="0.45">
      <c r="A1445">
        <v>20250403</v>
      </c>
      <c r="B1445" s="65" t="s">
        <v>133</v>
      </c>
      <c r="C1445" s="65" t="s">
        <v>130</v>
      </c>
      <c r="D1445" s="65" t="s">
        <v>139</v>
      </c>
      <c r="E1445" s="65" t="s">
        <v>133</v>
      </c>
    </row>
    <row r="1446" spans="1:5" x14ac:dyDescent="0.45">
      <c r="A1446">
        <v>20250404</v>
      </c>
      <c r="B1446" s="65" t="s">
        <v>213</v>
      </c>
      <c r="C1446" s="65" t="s">
        <v>130</v>
      </c>
      <c r="D1446" s="65" t="s">
        <v>131</v>
      </c>
      <c r="E1446" s="65" t="s">
        <v>217</v>
      </c>
    </row>
    <row r="1447" spans="1:5" x14ac:dyDescent="0.45">
      <c r="A1447">
        <v>20250405</v>
      </c>
      <c r="B1447" s="65" t="s">
        <v>133</v>
      </c>
      <c r="C1447" s="65" t="s">
        <v>130</v>
      </c>
      <c r="D1447" s="65" t="s">
        <v>134</v>
      </c>
      <c r="E1447" s="65" t="s">
        <v>133</v>
      </c>
    </row>
    <row r="1448" spans="1:5" x14ac:dyDescent="0.45">
      <c r="A1448">
        <v>20250406</v>
      </c>
      <c r="B1448" s="65" t="s">
        <v>133</v>
      </c>
      <c r="C1448" s="65" t="s">
        <v>130</v>
      </c>
      <c r="D1448" s="65" t="s">
        <v>134</v>
      </c>
      <c r="E1448" s="65" t="s">
        <v>133</v>
      </c>
    </row>
    <row r="1449" spans="1:5" x14ac:dyDescent="0.45">
      <c r="A1449">
        <v>20250412</v>
      </c>
      <c r="B1449" s="65" t="s">
        <v>133</v>
      </c>
      <c r="C1449" s="65" t="s">
        <v>130</v>
      </c>
      <c r="D1449" s="65" t="s">
        <v>134</v>
      </c>
      <c r="E1449" s="65" t="s">
        <v>133</v>
      </c>
    </row>
    <row r="1450" spans="1:5" x14ac:dyDescent="0.45">
      <c r="A1450">
        <v>20250413</v>
      </c>
      <c r="B1450" s="65" t="s">
        <v>133</v>
      </c>
      <c r="C1450" s="65" t="s">
        <v>130</v>
      </c>
      <c r="D1450" s="65" t="s">
        <v>134</v>
      </c>
      <c r="E1450" s="65" t="s">
        <v>133</v>
      </c>
    </row>
    <row r="1451" spans="1:5" x14ac:dyDescent="0.45">
      <c r="A1451">
        <v>20250419</v>
      </c>
      <c r="B1451" s="65" t="s">
        <v>133</v>
      </c>
      <c r="C1451" s="65" t="s">
        <v>130</v>
      </c>
      <c r="D1451" s="65" t="s">
        <v>134</v>
      </c>
      <c r="E1451" s="65" t="s">
        <v>133</v>
      </c>
    </row>
    <row r="1452" spans="1:5" x14ac:dyDescent="0.45">
      <c r="A1452">
        <v>20250420</v>
      </c>
      <c r="B1452" s="65" t="s">
        <v>133</v>
      </c>
      <c r="C1452" s="65" t="s">
        <v>130</v>
      </c>
      <c r="D1452" s="65" t="s">
        <v>134</v>
      </c>
      <c r="E1452" s="65" t="s">
        <v>133</v>
      </c>
    </row>
    <row r="1453" spans="1:5" x14ac:dyDescent="0.45">
      <c r="A1453">
        <v>20250426</v>
      </c>
      <c r="B1453" s="65" t="s">
        <v>133</v>
      </c>
      <c r="C1453" s="65" t="s">
        <v>130</v>
      </c>
      <c r="D1453" s="65" t="s">
        <v>134</v>
      </c>
      <c r="E1453" s="65" t="s">
        <v>133</v>
      </c>
    </row>
    <row r="1454" spans="1:5" x14ac:dyDescent="0.45">
      <c r="A1454">
        <v>20250427</v>
      </c>
      <c r="B1454" s="65" t="s">
        <v>133</v>
      </c>
      <c r="C1454" s="65" t="s">
        <v>130</v>
      </c>
      <c r="D1454" s="65" t="s">
        <v>134</v>
      </c>
      <c r="E1454" s="65" t="s">
        <v>133</v>
      </c>
    </row>
    <row r="1455" spans="1:5" x14ac:dyDescent="0.45">
      <c r="A1455">
        <v>20250503</v>
      </c>
      <c r="B1455" s="65" t="s">
        <v>133</v>
      </c>
      <c r="C1455" s="65" t="s">
        <v>130</v>
      </c>
      <c r="D1455" s="65" t="s">
        <v>134</v>
      </c>
      <c r="E1455" s="65" t="s">
        <v>133</v>
      </c>
    </row>
    <row r="1456" spans="1:5" x14ac:dyDescent="0.45">
      <c r="A1456">
        <v>20250504</v>
      </c>
      <c r="B1456" s="65" t="s">
        <v>133</v>
      </c>
      <c r="C1456" s="65" t="s">
        <v>130</v>
      </c>
      <c r="D1456" s="65" t="s">
        <v>134</v>
      </c>
      <c r="E1456" s="65" t="s">
        <v>133</v>
      </c>
    </row>
    <row r="1457" spans="1:5" x14ac:dyDescent="0.45">
      <c r="A1457">
        <v>20250510</v>
      </c>
      <c r="B1457" s="65" t="s">
        <v>133</v>
      </c>
      <c r="C1457" s="65" t="s">
        <v>130</v>
      </c>
      <c r="D1457" s="65" t="s">
        <v>134</v>
      </c>
      <c r="E1457" s="65" t="s">
        <v>133</v>
      </c>
    </row>
    <row r="1458" spans="1:5" x14ac:dyDescent="0.45">
      <c r="A1458">
        <v>20250511</v>
      </c>
      <c r="B1458" s="65" t="s">
        <v>133</v>
      </c>
      <c r="C1458" s="65" t="s">
        <v>130</v>
      </c>
      <c r="D1458" s="65" t="s">
        <v>134</v>
      </c>
      <c r="E1458" s="65" t="s">
        <v>133</v>
      </c>
    </row>
    <row r="1459" spans="1:5" x14ac:dyDescent="0.45">
      <c r="A1459">
        <v>20250517</v>
      </c>
      <c r="B1459" s="65" t="s">
        <v>133</v>
      </c>
      <c r="C1459" s="65" t="s">
        <v>130</v>
      </c>
      <c r="D1459" s="65" t="s">
        <v>134</v>
      </c>
      <c r="E1459" s="65" t="s">
        <v>133</v>
      </c>
    </row>
    <row r="1460" spans="1:5" x14ac:dyDescent="0.45">
      <c r="A1460">
        <v>20250518</v>
      </c>
      <c r="B1460" s="65" t="s">
        <v>133</v>
      </c>
      <c r="C1460" s="65" t="s">
        <v>130</v>
      </c>
      <c r="D1460" s="65" t="s">
        <v>134</v>
      </c>
      <c r="E1460" s="65" t="s">
        <v>133</v>
      </c>
    </row>
    <row r="1461" spans="1:5" x14ac:dyDescent="0.45">
      <c r="A1461">
        <v>20250524</v>
      </c>
      <c r="B1461" s="65" t="s">
        <v>133</v>
      </c>
      <c r="C1461" s="65" t="s">
        <v>130</v>
      </c>
      <c r="D1461" s="65" t="s">
        <v>134</v>
      </c>
      <c r="E1461" s="65" t="s">
        <v>133</v>
      </c>
    </row>
    <row r="1462" spans="1:5" x14ac:dyDescent="0.45">
      <c r="A1462">
        <v>20250525</v>
      </c>
      <c r="B1462" s="65" t="s">
        <v>133</v>
      </c>
      <c r="C1462" s="65" t="s">
        <v>130</v>
      </c>
      <c r="D1462" s="65" t="s">
        <v>134</v>
      </c>
      <c r="E1462" s="65" t="s">
        <v>133</v>
      </c>
    </row>
    <row r="1463" spans="1:5" x14ac:dyDescent="0.45">
      <c r="A1463">
        <v>20250530</v>
      </c>
      <c r="B1463" s="65" t="s">
        <v>133</v>
      </c>
      <c r="C1463" s="65" t="s">
        <v>130</v>
      </c>
      <c r="D1463" s="65" t="s">
        <v>139</v>
      </c>
      <c r="E1463" s="65" t="s">
        <v>133</v>
      </c>
    </row>
    <row r="1464" spans="1:5" x14ac:dyDescent="0.45">
      <c r="A1464">
        <v>20250531</v>
      </c>
      <c r="B1464" s="65" t="s">
        <v>153</v>
      </c>
      <c r="C1464" s="65" t="s">
        <v>130</v>
      </c>
      <c r="D1464" s="65" t="s">
        <v>131</v>
      </c>
      <c r="E1464" s="65" t="s">
        <v>218</v>
      </c>
    </row>
    <row r="1465" spans="1:5" x14ac:dyDescent="0.45">
      <c r="A1465">
        <v>20250601</v>
      </c>
      <c r="B1465" s="65" t="s">
        <v>133</v>
      </c>
      <c r="C1465" s="65" t="s">
        <v>130</v>
      </c>
      <c r="D1465" s="65" t="s">
        <v>134</v>
      </c>
      <c r="E1465" s="65" t="s">
        <v>133</v>
      </c>
    </row>
    <row r="1466" spans="1:5" x14ac:dyDescent="0.45">
      <c r="A1466">
        <v>20250607</v>
      </c>
      <c r="B1466" s="65" t="s">
        <v>133</v>
      </c>
      <c r="C1466" s="65" t="s">
        <v>130</v>
      </c>
      <c r="D1466" s="65" t="s">
        <v>134</v>
      </c>
      <c r="E1466" s="65" t="s">
        <v>133</v>
      </c>
    </row>
    <row r="1467" spans="1:5" x14ac:dyDescent="0.45">
      <c r="A1467">
        <v>20250608</v>
      </c>
      <c r="B1467" s="65" t="s">
        <v>133</v>
      </c>
      <c r="C1467" s="65" t="s">
        <v>130</v>
      </c>
      <c r="D1467" s="65" t="s">
        <v>134</v>
      </c>
      <c r="E1467" s="65" t="s">
        <v>133</v>
      </c>
    </row>
    <row r="1468" spans="1:5" x14ac:dyDescent="0.45">
      <c r="A1468">
        <v>20250614</v>
      </c>
      <c r="B1468" s="65" t="s">
        <v>133</v>
      </c>
      <c r="C1468" s="65" t="s">
        <v>130</v>
      </c>
      <c r="D1468" s="65" t="s">
        <v>134</v>
      </c>
      <c r="E1468" s="65" t="s">
        <v>133</v>
      </c>
    </row>
    <row r="1469" spans="1:5" x14ac:dyDescent="0.45">
      <c r="A1469">
        <v>20250621</v>
      </c>
      <c r="B1469" s="65" t="s">
        <v>133</v>
      </c>
      <c r="C1469" s="65" t="s">
        <v>130</v>
      </c>
      <c r="D1469" s="65" t="s">
        <v>134</v>
      </c>
      <c r="E1469" s="65" t="s">
        <v>133</v>
      </c>
    </row>
    <row r="1470" spans="1:5" x14ac:dyDescent="0.45">
      <c r="A1470">
        <v>20250622</v>
      </c>
      <c r="B1470" s="65" t="s">
        <v>133</v>
      </c>
      <c r="C1470" s="65" t="s">
        <v>130</v>
      </c>
      <c r="D1470" s="65" t="s">
        <v>134</v>
      </c>
      <c r="E1470" s="65" t="s">
        <v>133</v>
      </c>
    </row>
    <row r="1471" spans="1:5" x14ac:dyDescent="0.45">
      <c r="A1471">
        <v>20250628</v>
      </c>
      <c r="B1471" s="65" t="s">
        <v>133</v>
      </c>
      <c r="C1471" s="65" t="s">
        <v>130</v>
      </c>
      <c r="D1471" s="65" t="s">
        <v>134</v>
      </c>
      <c r="E1471" s="65" t="s">
        <v>133</v>
      </c>
    </row>
    <row r="1472" spans="1:5" x14ac:dyDescent="0.45">
      <c r="A1472">
        <v>20250629</v>
      </c>
      <c r="B1472" s="65" t="s">
        <v>133</v>
      </c>
      <c r="C1472" s="65" t="s">
        <v>130</v>
      </c>
      <c r="D1472" s="65" t="s">
        <v>134</v>
      </c>
      <c r="E1472" s="65" t="s">
        <v>133</v>
      </c>
    </row>
    <row r="1473" spans="1:5" x14ac:dyDescent="0.45">
      <c r="A1473">
        <v>20250705</v>
      </c>
      <c r="B1473" s="65" t="s">
        <v>133</v>
      </c>
      <c r="C1473" s="65" t="s">
        <v>130</v>
      </c>
      <c r="D1473" s="65" t="s">
        <v>134</v>
      </c>
      <c r="E1473" s="65" t="s">
        <v>133</v>
      </c>
    </row>
    <row r="1474" spans="1:5" x14ac:dyDescent="0.45">
      <c r="A1474">
        <v>20250706</v>
      </c>
      <c r="B1474" s="65" t="s">
        <v>133</v>
      </c>
      <c r="C1474" s="65" t="s">
        <v>130</v>
      </c>
      <c r="D1474" s="65" t="s">
        <v>134</v>
      </c>
      <c r="E1474" s="65" t="s">
        <v>133</v>
      </c>
    </row>
    <row r="1475" spans="1:5" x14ac:dyDescent="0.45">
      <c r="A1475">
        <v>20250712</v>
      </c>
      <c r="B1475" s="65" t="s">
        <v>133</v>
      </c>
      <c r="C1475" s="65" t="s">
        <v>130</v>
      </c>
      <c r="D1475" s="65" t="s">
        <v>134</v>
      </c>
      <c r="E1475" s="65" t="s">
        <v>133</v>
      </c>
    </row>
    <row r="1476" spans="1:5" x14ac:dyDescent="0.45">
      <c r="A1476">
        <v>20250713</v>
      </c>
      <c r="B1476" s="65" t="s">
        <v>133</v>
      </c>
      <c r="C1476" s="65" t="s">
        <v>130</v>
      </c>
      <c r="D1476" s="65" t="s">
        <v>134</v>
      </c>
      <c r="E1476" s="65" t="s">
        <v>133</v>
      </c>
    </row>
    <row r="1477" spans="1:5" x14ac:dyDescent="0.45">
      <c r="A1477">
        <v>20250719</v>
      </c>
      <c r="B1477" s="65" t="s">
        <v>133</v>
      </c>
      <c r="C1477" s="65" t="s">
        <v>130</v>
      </c>
      <c r="D1477" s="65" t="s">
        <v>134</v>
      </c>
      <c r="E1477" s="65" t="s">
        <v>133</v>
      </c>
    </row>
    <row r="1478" spans="1:5" x14ac:dyDescent="0.45">
      <c r="A1478">
        <v>20250720</v>
      </c>
      <c r="B1478" s="65" t="s">
        <v>133</v>
      </c>
      <c r="C1478" s="65" t="s">
        <v>130</v>
      </c>
      <c r="D1478" s="65" t="s">
        <v>134</v>
      </c>
      <c r="E1478" s="65" t="s">
        <v>133</v>
      </c>
    </row>
    <row r="1479" spans="1:5" x14ac:dyDescent="0.45">
      <c r="A1479">
        <v>20250726</v>
      </c>
      <c r="B1479" s="65" t="s">
        <v>133</v>
      </c>
      <c r="C1479" s="65" t="s">
        <v>130</v>
      </c>
      <c r="D1479" s="65" t="s">
        <v>134</v>
      </c>
      <c r="E1479" s="65" t="s">
        <v>133</v>
      </c>
    </row>
    <row r="1480" spans="1:5" x14ac:dyDescent="0.45">
      <c r="A1480">
        <v>20250727</v>
      </c>
      <c r="B1480" s="65" t="s">
        <v>133</v>
      </c>
      <c r="C1480" s="65" t="s">
        <v>130</v>
      </c>
      <c r="D1480" s="65" t="s">
        <v>134</v>
      </c>
      <c r="E1480" s="65" t="s">
        <v>133</v>
      </c>
    </row>
    <row r="1481" spans="1:5" x14ac:dyDescent="0.45">
      <c r="A1481">
        <v>20250802</v>
      </c>
      <c r="B1481" s="65" t="s">
        <v>133</v>
      </c>
      <c r="C1481" s="65" t="s">
        <v>130</v>
      </c>
      <c r="D1481" s="65" t="s">
        <v>134</v>
      </c>
      <c r="E1481" s="65" t="s">
        <v>133</v>
      </c>
    </row>
    <row r="1482" spans="1:5" x14ac:dyDescent="0.45">
      <c r="A1482">
        <v>20250803</v>
      </c>
      <c r="B1482" s="65" t="s">
        <v>133</v>
      </c>
      <c r="C1482" s="65" t="s">
        <v>130</v>
      </c>
      <c r="D1482" s="65" t="s">
        <v>134</v>
      </c>
      <c r="E1482" s="65" t="s">
        <v>133</v>
      </c>
    </row>
    <row r="1483" spans="1:5" x14ac:dyDescent="0.45">
      <c r="A1483">
        <v>20250809</v>
      </c>
      <c r="B1483" s="65" t="s">
        <v>133</v>
      </c>
      <c r="C1483" s="65" t="s">
        <v>130</v>
      </c>
      <c r="D1483" s="65" t="s">
        <v>134</v>
      </c>
      <c r="E1483" s="65" t="s">
        <v>133</v>
      </c>
    </row>
    <row r="1484" spans="1:5" x14ac:dyDescent="0.45">
      <c r="A1484">
        <v>20250810</v>
      </c>
      <c r="B1484" s="65" t="s">
        <v>133</v>
      </c>
      <c r="C1484" s="65" t="s">
        <v>130</v>
      </c>
      <c r="D1484" s="65" t="s">
        <v>134</v>
      </c>
      <c r="E1484" s="65" t="s">
        <v>133</v>
      </c>
    </row>
    <row r="1485" spans="1:5" x14ac:dyDescent="0.45">
      <c r="A1485">
        <v>20250816</v>
      </c>
      <c r="B1485" s="65" t="s">
        <v>133</v>
      </c>
      <c r="C1485" s="65" t="s">
        <v>130</v>
      </c>
      <c r="D1485" s="65" t="s">
        <v>134</v>
      </c>
      <c r="E1485" s="65" t="s">
        <v>133</v>
      </c>
    </row>
    <row r="1486" spans="1:5" x14ac:dyDescent="0.45">
      <c r="A1486">
        <v>20250817</v>
      </c>
      <c r="B1486" s="65" t="s">
        <v>133</v>
      </c>
      <c r="C1486" s="65" t="s">
        <v>130</v>
      </c>
      <c r="D1486" s="65" t="s">
        <v>134</v>
      </c>
      <c r="E1486" s="65" t="s">
        <v>133</v>
      </c>
    </row>
    <row r="1487" spans="1:5" x14ac:dyDescent="0.45">
      <c r="A1487">
        <v>20250823</v>
      </c>
      <c r="B1487" s="65" t="s">
        <v>133</v>
      </c>
      <c r="C1487" s="65" t="s">
        <v>130</v>
      </c>
      <c r="D1487" s="65" t="s">
        <v>134</v>
      </c>
      <c r="E1487" s="65" t="s">
        <v>133</v>
      </c>
    </row>
    <row r="1488" spans="1:5" x14ac:dyDescent="0.45">
      <c r="A1488">
        <v>20250824</v>
      </c>
      <c r="B1488" s="65" t="s">
        <v>133</v>
      </c>
      <c r="C1488" s="65" t="s">
        <v>130</v>
      </c>
      <c r="D1488" s="65" t="s">
        <v>134</v>
      </c>
      <c r="E1488" s="65" t="s">
        <v>133</v>
      </c>
    </row>
    <row r="1489" spans="1:5" x14ac:dyDescent="0.45">
      <c r="A1489">
        <v>20250830</v>
      </c>
      <c r="B1489" s="65" t="s">
        <v>133</v>
      </c>
      <c r="C1489" s="65" t="s">
        <v>130</v>
      </c>
      <c r="D1489" s="65" t="s">
        <v>134</v>
      </c>
      <c r="E1489" s="65" t="s">
        <v>133</v>
      </c>
    </row>
    <row r="1490" spans="1:5" x14ac:dyDescent="0.45">
      <c r="A1490">
        <v>20250831</v>
      </c>
      <c r="B1490" s="65" t="s">
        <v>133</v>
      </c>
      <c r="C1490" s="65" t="s">
        <v>130</v>
      </c>
      <c r="D1490" s="65" t="s">
        <v>134</v>
      </c>
      <c r="E1490" s="65" t="s">
        <v>133</v>
      </c>
    </row>
    <row r="1491" spans="1:5" x14ac:dyDescent="0.45">
      <c r="A1491">
        <v>20250906</v>
      </c>
      <c r="B1491" s="65" t="s">
        <v>133</v>
      </c>
      <c r="C1491" s="65" t="s">
        <v>130</v>
      </c>
      <c r="D1491" s="65" t="s">
        <v>134</v>
      </c>
      <c r="E1491" s="65" t="s">
        <v>133</v>
      </c>
    </row>
    <row r="1492" spans="1:5" x14ac:dyDescent="0.45">
      <c r="A1492">
        <v>20250907</v>
      </c>
      <c r="B1492" s="65" t="s">
        <v>133</v>
      </c>
      <c r="C1492" s="65" t="s">
        <v>130</v>
      </c>
      <c r="D1492" s="65" t="s">
        <v>134</v>
      </c>
      <c r="E1492" s="65" t="s">
        <v>133</v>
      </c>
    </row>
    <row r="1493" spans="1:5" x14ac:dyDescent="0.45">
      <c r="A1493">
        <v>20250913</v>
      </c>
      <c r="B1493" s="65" t="s">
        <v>133</v>
      </c>
      <c r="C1493" s="65" t="s">
        <v>130</v>
      </c>
      <c r="D1493" s="65" t="s">
        <v>134</v>
      </c>
      <c r="E1493" s="65" t="s">
        <v>133</v>
      </c>
    </row>
    <row r="1494" spans="1:5" x14ac:dyDescent="0.45">
      <c r="A1494">
        <v>20250914</v>
      </c>
      <c r="B1494" s="65" t="s">
        <v>133</v>
      </c>
      <c r="C1494" s="65" t="s">
        <v>130</v>
      </c>
      <c r="D1494" s="65" t="s">
        <v>134</v>
      </c>
      <c r="E1494" s="65" t="s">
        <v>133</v>
      </c>
    </row>
    <row r="1495" spans="1:5" x14ac:dyDescent="0.45">
      <c r="A1495">
        <v>20250920</v>
      </c>
      <c r="B1495" s="65" t="s">
        <v>133</v>
      </c>
      <c r="C1495" s="65" t="s">
        <v>130</v>
      </c>
      <c r="D1495" s="65" t="s">
        <v>134</v>
      </c>
      <c r="E1495" s="65" t="s">
        <v>133</v>
      </c>
    </row>
    <row r="1496" spans="1:5" x14ac:dyDescent="0.45">
      <c r="A1496">
        <v>20250921</v>
      </c>
      <c r="B1496" s="65" t="s">
        <v>133</v>
      </c>
      <c r="C1496" s="65" t="s">
        <v>130</v>
      </c>
      <c r="D1496" s="65" t="s">
        <v>134</v>
      </c>
      <c r="E1496" s="65" t="s">
        <v>133</v>
      </c>
    </row>
    <row r="1497" spans="1:5" x14ac:dyDescent="0.45">
      <c r="A1497">
        <v>20250927</v>
      </c>
      <c r="B1497" s="65" t="s">
        <v>133</v>
      </c>
      <c r="C1497" s="65" t="s">
        <v>130</v>
      </c>
      <c r="D1497" s="65" t="s">
        <v>134</v>
      </c>
      <c r="E1497" s="65" t="s">
        <v>133</v>
      </c>
    </row>
    <row r="1498" spans="1:5" x14ac:dyDescent="0.45">
      <c r="A1498">
        <v>20250928</v>
      </c>
      <c r="B1498" s="65" t="s">
        <v>219</v>
      </c>
      <c r="C1498" s="65" t="s">
        <v>130</v>
      </c>
      <c r="D1498" s="65" t="s">
        <v>131</v>
      </c>
      <c r="E1498" s="65" t="s">
        <v>220</v>
      </c>
    </row>
    <row r="1499" spans="1:5" x14ac:dyDescent="0.45">
      <c r="A1499">
        <v>20250929</v>
      </c>
      <c r="B1499" s="65" t="s">
        <v>133</v>
      </c>
      <c r="C1499" s="65" t="s">
        <v>130</v>
      </c>
      <c r="D1499" s="65" t="s">
        <v>139</v>
      </c>
      <c r="E1499" s="65" t="s">
        <v>133</v>
      </c>
    </row>
    <row r="1500" spans="1:5" x14ac:dyDescent="0.45">
      <c r="A1500">
        <v>20251004</v>
      </c>
      <c r="B1500" s="65" t="s">
        <v>133</v>
      </c>
      <c r="C1500" s="65" t="s">
        <v>130</v>
      </c>
      <c r="D1500" s="65" t="s">
        <v>134</v>
      </c>
      <c r="E1500" s="65" t="s">
        <v>133</v>
      </c>
    </row>
    <row r="1501" spans="1:5" x14ac:dyDescent="0.45">
      <c r="A1501">
        <v>20251005</v>
      </c>
      <c r="B1501" s="65" t="s">
        <v>133</v>
      </c>
      <c r="C1501" s="65" t="s">
        <v>130</v>
      </c>
      <c r="D1501" s="65" t="s">
        <v>134</v>
      </c>
      <c r="E1501" s="65" t="s">
        <v>133</v>
      </c>
    </row>
    <row r="1502" spans="1:5" x14ac:dyDescent="0.45">
      <c r="A1502">
        <v>20251006</v>
      </c>
      <c r="B1502" s="65" t="s">
        <v>154</v>
      </c>
      <c r="C1502" s="65" t="s">
        <v>130</v>
      </c>
      <c r="D1502" s="65" t="s">
        <v>131</v>
      </c>
      <c r="E1502" s="65" t="s">
        <v>132</v>
      </c>
    </row>
    <row r="1503" spans="1:5" x14ac:dyDescent="0.45">
      <c r="A1503">
        <v>20251010</v>
      </c>
      <c r="B1503" s="65" t="s">
        <v>158</v>
      </c>
      <c r="C1503" s="65" t="s">
        <v>130</v>
      </c>
      <c r="D1503" s="65" t="s">
        <v>131</v>
      </c>
      <c r="E1503" s="65" t="s">
        <v>132</v>
      </c>
    </row>
    <row r="1504" spans="1:5" x14ac:dyDescent="0.45">
      <c r="A1504">
        <v>20251011</v>
      </c>
      <c r="B1504" s="65" t="s">
        <v>133</v>
      </c>
      <c r="C1504" s="65" t="s">
        <v>130</v>
      </c>
      <c r="D1504" s="65" t="s">
        <v>134</v>
      </c>
      <c r="E1504" s="65" t="s">
        <v>133</v>
      </c>
    </row>
    <row r="1505" spans="1:5" x14ac:dyDescent="0.45">
      <c r="A1505">
        <v>20251012</v>
      </c>
      <c r="B1505" s="65" t="s">
        <v>133</v>
      </c>
      <c r="C1505" s="65" t="s">
        <v>130</v>
      </c>
      <c r="D1505" s="65" t="s">
        <v>134</v>
      </c>
      <c r="E1505" s="65" t="s">
        <v>133</v>
      </c>
    </row>
    <row r="1506" spans="1:5" x14ac:dyDescent="0.45">
      <c r="A1506">
        <v>20251018</v>
      </c>
      <c r="B1506" s="65" t="s">
        <v>133</v>
      </c>
      <c r="C1506" s="65" t="s">
        <v>130</v>
      </c>
      <c r="D1506" s="65" t="s">
        <v>134</v>
      </c>
      <c r="E1506" s="65" t="s">
        <v>133</v>
      </c>
    </row>
    <row r="1507" spans="1:5" x14ac:dyDescent="0.45">
      <c r="A1507">
        <v>20251019</v>
      </c>
      <c r="B1507" s="65" t="s">
        <v>133</v>
      </c>
      <c r="C1507" s="65" t="s">
        <v>130</v>
      </c>
      <c r="D1507" s="65" t="s">
        <v>134</v>
      </c>
      <c r="E1507" s="65" t="s">
        <v>133</v>
      </c>
    </row>
    <row r="1508" spans="1:5" x14ac:dyDescent="0.45">
      <c r="A1508">
        <v>20251024</v>
      </c>
      <c r="B1508" s="65" t="s">
        <v>133</v>
      </c>
      <c r="C1508" s="65" t="s">
        <v>130</v>
      </c>
      <c r="D1508" s="65" t="s">
        <v>139</v>
      </c>
      <c r="E1508" s="65" t="s">
        <v>133</v>
      </c>
    </row>
    <row r="1509" spans="1:5" x14ac:dyDescent="0.45">
      <c r="A1509">
        <v>20251025</v>
      </c>
      <c r="B1509" s="65" t="s">
        <v>221</v>
      </c>
      <c r="C1509" s="65" t="s">
        <v>130</v>
      </c>
      <c r="D1509" s="65" t="s">
        <v>131</v>
      </c>
      <c r="E1509" s="65" t="s">
        <v>222</v>
      </c>
    </row>
    <row r="1510" spans="1:5" x14ac:dyDescent="0.45">
      <c r="A1510">
        <v>20251026</v>
      </c>
      <c r="B1510" s="65" t="s">
        <v>133</v>
      </c>
      <c r="C1510" s="65" t="s">
        <v>130</v>
      </c>
      <c r="D1510" s="65" t="s">
        <v>134</v>
      </c>
      <c r="E1510" s="65" t="s">
        <v>133</v>
      </c>
    </row>
    <row r="1511" spans="1:5" x14ac:dyDescent="0.45">
      <c r="A1511">
        <v>20251101</v>
      </c>
      <c r="B1511" s="65" t="s">
        <v>133</v>
      </c>
      <c r="C1511" s="65" t="s">
        <v>130</v>
      </c>
      <c r="D1511" s="65" t="s">
        <v>134</v>
      </c>
      <c r="E1511" s="65" t="s">
        <v>133</v>
      </c>
    </row>
    <row r="1512" spans="1:5" x14ac:dyDescent="0.45">
      <c r="A1512">
        <v>20251102</v>
      </c>
      <c r="B1512" s="65" t="s">
        <v>133</v>
      </c>
      <c r="C1512" s="65" t="s">
        <v>130</v>
      </c>
      <c r="D1512" s="65" t="s">
        <v>134</v>
      </c>
      <c r="E1512" s="65" t="s">
        <v>133</v>
      </c>
    </row>
    <row r="1513" spans="1:5" x14ac:dyDescent="0.45">
      <c r="A1513">
        <v>20251108</v>
      </c>
      <c r="B1513" s="65" t="s">
        <v>133</v>
      </c>
      <c r="C1513" s="65" t="s">
        <v>130</v>
      </c>
      <c r="D1513" s="65" t="s">
        <v>134</v>
      </c>
      <c r="E1513" s="65" t="s">
        <v>133</v>
      </c>
    </row>
    <row r="1514" spans="1:5" x14ac:dyDescent="0.45">
      <c r="A1514">
        <v>20251109</v>
      </c>
      <c r="B1514" s="65" t="s">
        <v>133</v>
      </c>
      <c r="C1514" s="65" t="s">
        <v>130</v>
      </c>
      <c r="D1514" s="65" t="s">
        <v>134</v>
      </c>
      <c r="E1514" s="65" t="s">
        <v>133</v>
      </c>
    </row>
    <row r="1515" spans="1:5" x14ac:dyDescent="0.45">
      <c r="A1515">
        <v>20251115</v>
      </c>
      <c r="B1515" s="65" t="s">
        <v>133</v>
      </c>
      <c r="C1515" s="65" t="s">
        <v>130</v>
      </c>
      <c r="D1515" s="65" t="s">
        <v>134</v>
      </c>
      <c r="E1515" s="65" t="s">
        <v>133</v>
      </c>
    </row>
    <row r="1516" spans="1:5" x14ac:dyDescent="0.45">
      <c r="A1516">
        <v>20251116</v>
      </c>
      <c r="B1516" s="65" t="s">
        <v>133</v>
      </c>
      <c r="C1516" s="65" t="s">
        <v>130</v>
      </c>
      <c r="D1516" s="65" t="s">
        <v>134</v>
      </c>
      <c r="E1516" s="65" t="s">
        <v>133</v>
      </c>
    </row>
    <row r="1517" spans="1:5" x14ac:dyDescent="0.45">
      <c r="A1517">
        <v>20251122</v>
      </c>
      <c r="B1517" s="65" t="s">
        <v>133</v>
      </c>
      <c r="C1517" s="65" t="s">
        <v>130</v>
      </c>
      <c r="D1517" s="65" t="s">
        <v>134</v>
      </c>
      <c r="E1517" s="65" t="s">
        <v>133</v>
      </c>
    </row>
    <row r="1518" spans="1:5" x14ac:dyDescent="0.45">
      <c r="A1518">
        <v>20251123</v>
      </c>
      <c r="B1518" s="65" t="s">
        <v>133</v>
      </c>
      <c r="C1518" s="65" t="s">
        <v>130</v>
      </c>
      <c r="D1518" s="65" t="s">
        <v>134</v>
      </c>
      <c r="E1518" s="65" t="s">
        <v>133</v>
      </c>
    </row>
    <row r="1519" spans="1:5" x14ac:dyDescent="0.45">
      <c r="A1519">
        <v>20251129</v>
      </c>
      <c r="B1519" s="65" t="s">
        <v>133</v>
      </c>
      <c r="C1519" s="65" t="s">
        <v>130</v>
      </c>
      <c r="D1519" s="65" t="s">
        <v>134</v>
      </c>
      <c r="E1519" s="65" t="s">
        <v>133</v>
      </c>
    </row>
    <row r="1520" spans="1:5" x14ac:dyDescent="0.45">
      <c r="A1520">
        <v>20251130</v>
      </c>
      <c r="B1520" s="65" t="s">
        <v>133</v>
      </c>
      <c r="C1520" s="65" t="s">
        <v>130</v>
      </c>
      <c r="D1520" s="65" t="s">
        <v>134</v>
      </c>
      <c r="E1520" s="65" t="s">
        <v>133</v>
      </c>
    </row>
    <row r="1521" spans="1:5" x14ac:dyDescent="0.45">
      <c r="A1521">
        <v>20251206</v>
      </c>
      <c r="B1521" s="65" t="s">
        <v>133</v>
      </c>
      <c r="C1521" s="65" t="s">
        <v>130</v>
      </c>
      <c r="D1521" s="65" t="s">
        <v>134</v>
      </c>
      <c r="E1521" s="65" t="s">
        <v>133</v>
      </c>
    </row>
    <row r="1522" spans="1:5" x14ac:dyDescent="0.45">
      <c r="A1522">
        <v>20251207</v>
      </c>
      <c r="B1522" s="65" t="s">
        <v>133</v>
      </c>
      <c r="C1522" s="65" t="s">
        <v>130</v>
      </c>
      <c r="D1522" s="65" t="s">
        <v>134</v>
      </c>
      <c r="E1522" s="65" t="s">
        <v>133</v>
      </c>
    </row>
    <row r="1523" spans="1:5" x14ac:dyDescent="0.45">
      <c r="A1523">
        <v>20251213</v>
      </c>
      <c r="B1523" s="65" t="s">
        <v>133</v>
      </c>
      <c r="C1523" s="65" t="s">
        <v>130</v>
      </c>
      <c r="D1523" s="65" t="s">
        <v>134</v>
      </c>
      <c r="E1523" s="65" t="s">
        <v>133</v>
      </c>
    </row>
    <row r="1524" spans="1:5" x14ac:dyDescent="0.45">
      <c r="A1524">
        <v>20251214</v>
      </c>
      <c r="B1524" s="65" t="s">
        <v>133</v>
      </c>
      <c r="C1524" s="65" t="s">
        <v>130</v>
      </c>
      <c r="D1524" s="65" t="s">
        <v>134</v>
      </c>
      <c r="E1524" s="65" t="s">
        <v>133</v>
      </c>
    </row>
    <row r="1525" spans="1:5" x14ac:dyDescent="0.45">
      <c r="A1525">
        <v>20251220</v>
      </c>
      <c r="B1525" s="65" t="s">
        <v>133</v>
      </c>
      <c r="C1525" s="65" t="s">
        <v>130</v>
      </c>
      <c r="D1525" s="65" t="s">
        <v>134</v>
      </c>
      <c r="E1525" s="65" t="s">
        <v>133</v>
      </c>
    </row>
    <row r="1526" spans="1:5" x14ac:dyDescent="0.45">
      <c r="A1526">
        <v>20251221</v>
      </c>
      <c r="B1526" s="65" t="s">
        <v>133</v>
      </c>
      <c r="C1526" s="65" t="s">
        <v>130</v>
      </c>
      <c r="D1526" s="65" t="s">
        <v>134</v>
      </c>
      <c r="E1526" s="65" t="s">
        <v>133</v>
      </c>
    </row>
    <row r="1527" spans="1:5" x14ac:dyDescent="0.45">
      <c r="A1527">
        <v>20251225</v>
      </c>
      <c r="B1527" s="65" t="s">
        <v>161</v>
      </c>
      <c r="C1527" s="65" t="s">
        <v>130</v>
      </c>
      <c r="D1527" s="65" t="s">
        <v>131</v>
      </c>
      <c r="E1527" s="65" t="s">
        <v>132</v>
      </c>
    </row>
    <row r="1528" spans="1:5" x14ac:dyDescent="0.45">
      <c r="A1528">
        <v>20251227</v>
      </c>
      <c r="B1528" s="65" t="s">
        <v>133</v>
      </c>
      <c r="C1528" s="65" t="s">
        <v>130</v>
      </c>
      <c r="D1528" s="65" t="s">
        <v>134</v>
      </c>
      <c r="E1528" s="65" t="s">
        <v>133</v>
      </c>
    </row>
    <row r="1529" spans="1:5" x14ac:dyDescent="0.45">
      <c r="A1529">
        <v>20251228</v>
      </c>
      <c r="B1529" s="65" t="s">
        <v>133</v>
      </c>
      <c r="C1529" s="65" t="s">
        <v>130</v>
      </c>
      <c r="D1529" s="65" t="s">
        <v>134</v>
      </c>
      <c r="E1529" s="65" t="s">
        <v>133</v>
      </c>
    </row>
    <row r="1530" spans="1:5" x14ac:dyDescent="0.45">
      <c r="A1530">
        <v>20260101</v>
      </c>
      <c r="B1530" s="65" t="s">
        <v>129</v>
      </c>
      <c r="C1530" s="65" t="s">
        <v>130</v>
      </c>
      <c r="D1530" s="65" t="s">
        <v>131</v>
      </c>
      <c r="E1530" s="65" t="s">
        <v>132</v>
      </c>
    </row>
    <row r="1531" spans="1:5" x14ac:dyDescent="0.45">
      <c r="A1531">
        <v>20260103</v>
      </c>
      <c r="B1531" s="65" t="s">
        <v>133</v>
      </c>
      <c r="C1531" s="65" t="s">
        <v>130</v>
      </c>
      <c r="D1531" s="65" t="s">
        <v>134</v>
      </c>
      <c r="E1531" s="65" t="s">
        <v>133</v>
      </c>
    </row>
    <row r="1532" spans="1:5" x14ac:dyDescent="0.45">
      <c r="A1532">
        <v>20260104</v>
      </c>
      <c r="B1532" s="65" t="s">
        <v>133</v>
      </c>
      <c r="C1532" s="65" t="s">
        <v>130</v>
      </c>
      <c r="D1532" s="65" t="s">
        <v>134</v>
      </c>
      <c r="E1532" s="65" t="s">
        <v>133</v>
      </c>
    </row>
    <row r="1533" spans="1:5" x14ac:dyDescent="0.45">
      <c r="A1533">
        <v>20260110</v>
      </c>
      <c r="B1533" s="65" t="s">
        <v>133</v>
      </c>
      <c r="C1533" s="65" t="s">
        <v>130</v>
      </c>
      <c r="D1533" s="65" t="s">
        <v>134</v>
      </c>
      <c r="E1533" s="65" t="s">
        <v>133</v>
      </c>
    </row>
    <row r="1534" spans="1:5" x14ac:dyDescent="0.45">
      <c r="A1534">
        <v>20260111</v>
      </c>
      <c r="B1534" s="65" t="s">
        <v>133</v>
      </c>
      <c r="C1534" s="65" t="s">
        <v>130</v>
      </c>
      <c r="D1534" s="65" t="s">
        <v>134</v>
      </c>
      <c r="E1534" s="65" t="s">
        <v>133</v>
      </c>
    </row>
    <row r="1535" spans="1:5" x14ac:dyDescent="0.45">
      <c r="A1535">
        <v>20260117</v>
      </c>
      <c r="B1535" s="65" t="s">
        <v>133</v>
      </c>
      <c r="C1535" s="65" t="s">
        <v>130</v>
      </c>
      <c r="D1535" s="65" t="s">
        <v>134</v>
      </c>
      <c r="E1535" s="65" t="s">
        <v>133</v>
      </c>
    </row>
    <row r="1536" spans="1:5" x14ac:dyDescent="0.45">
      <c r="A1536">
        <v>20260118</v>
      </c>
      <c r="B1536" s="65" t="s">
        <v>133</v>
      </c>
      <c r="C1536" s="65" t="s">
        <v>130</v>
      </c>
      <c r="D1536" s="65" t="s">
        <v>134</v>
      </c>
      <c r="E1536" s="65" t="s">
        <v>133</v>
      </c>
    </row>
    <row r="1537" spans="1:5" x14ac:dyDescent="0.45">
      <c r="A1537">
        <v>20260124</v>
      </c>
      <c r="B1537" s="65" t="s">
        <v>133</v>
      </c>
      <c r="C1537" s="65" t="s">
        <v>130</v>
      </c>
      <c r="D1537" s="65" t="s">
        <v>134</v>
      </c>
      <c r="E1537" s="65" t="s">
        <v>133</v>
      </c>
    </row>
    <row r="1538" spans="1:5" x14ac:dyDescent="0.45">
      <c r="A1538">
        <v>20260125</v>
      </c>
      <c r="B1538" s="65" t="s">
        <v>133</v>
      </c>
      <c r="C1538" s="65" t="s">
        <v>130</v>
      </c>
      <c r="D1538" s="65" t="s">
        <v>134</v>
      </c>
      <c r="E1538" s="65" t="s">
        <v>133</v>
      </c>
    </row>
    <row r="1539" spans="1:5" x14ac:dyDescent="0.45">
      <c r="A1539">
        <v>20260131</v>
      </c>
      <c r="B1539" s="65" t="s">
        <v>133</v>
      </c>
      <c r="C1539" s="65" t="s">
        <v>130</v>
      </c>
      <c r="D1539" s="65" t="s">
        <v>134</v>
      </c>
      <c r="E1539" s="65" t="s">
        <v>133</v>
      </c>
    </row>
    <row r="1540" spans="1:5" x14ac:dyDescent="0.45">
      <c r="A1540">
        <v>20260201</v>
      </c>
      <c r="B1540" s="65" t="s">
        <v>133</v>
      </c>
      <c r="C1540" s="65" t="s">
        <v>130</v>
      </c>
      <c r="D1540" s="65" t="s">
        <v>134</v>
      </c>
      <c r="E1540" s="65" t="s">
        <v>133</v>
      </c>
    </row>
    <row r="1541" spans="1:5" x14ac:dyDescent="0.45">
      <c r="A1541">
        <v>20260207</v>
      </c>
      <c r="B1541" s="65" t="s">
        <v>133</v>
      </c>
      <c r="C1541" s="65" t="s">
        <v>130</v>
      </c>
      <c r="D1541" s="65" t="s">
        <v>134</v>
      </c>
      <c r="E1541" s="65" t="s">
        <v>133</v>
      </c>
    </row>
    <row r="1542" spans="1:5" x14ac:dyDescent="0.45">
      <c r="A1542">
        <v>20260208</v>
      </c>
      <c r="B1542" s="65" t="s">
        <v>133</v>
      </c>
      <c r="C1542" s="65" t="s">
        <v>130</v>
      </c>
      <c r="D1542" s="65" t="s">
        <v>134</v>
      </c>
      <c r="E1542" s="65" t="s">
        <v>133</v>
      </c>
    </row>
    <row r="1543" spans="1:5" x14ac:dyDescent="0.45">
      <c r="A1543">
        <v>20260214</v>
      </c>
      <c r="B1543" s="65" t="s">
        <v>133</v>
      </c>
      <c r="C1543" s="65" t="s">
        <v>130</v>
      </c>
      <c r="D1543" s="65" t="s">
        <v>134</v>
      </c>
      <c r="E1543" s="65" t="s">
        <v>133</v>
      </c>
    </row>
    <row r="1544" spans="1:5" x14ac:dyDescent="0.45">
      <c r="A1544">
        <v>20260215</v>
      </c>
      <c r="B1544" s="65" t="s">
        <v>223</v>
      </c>
      <c r="C1544" s="65" t="s">
        <v>130</v>
      </c>
      <c r="D1544" s="65" t="s">
        <v>131</v>
      </c>
      <c r="E1544" s="65" t="s">
        <v>224</v>
      </c>
    </row>
    <row r="1545" spans="1:5" x14ac:dyDescent="0.45">
      <c r="A1545">
        <v>20260216</v>
      </c>
      <c r="B1545" s="65" t="s">
        <v>135</v>
      </c>
      <c r="C1545" s="65" t="s">
        <v>130</v>
      </c>
      <c r="D1545" s="65" t="s">
        <v>131</v>
      </c>
      <c r="E1545" s="65" t="s">
        <v>132</v>
      </c>
    </row>
    <row r="1546" spans="1:5" x14ac:dyDescent="0.45">
      <c r="A1546">
        <v>20260217</v>
      </c>
      <c r="B1546" s="65" t="s">
        <v>137</v>
      </c>
      <c r="C1546" s="65" t="s">
        <v>130</v>
      </c>
      <c r="D1546" s="65" t="s">
        <v>131</v>
      </c>
      <c r="E1546" s="65" t="s">
        <v>132</v>
      </c>
    </row>
    <row r="1547" spans="1:5" x14ac:dyDescent="0.45">
      <c r="A1547">
        <v>20260218</v>
      </c>
      <c r="B1547" s="65" t="s">
        <v>137</v>
      </c>
      <c r="C1547" s="65" t="s">
        <v>130</v>
      </c>
      <c r="D1547" s="65" t="s">
        <v>131</v>
      </c>
      <c r="E1547" s="65" t="s">
        <v>132</v>
      </c>
    </row>
    <row r="1548" spans="1:5" x14ac:dyDescent="0.45">
      <c r="A1548">
        <v>20260219</v>
      </c>
      <c r="B1548" s="65" t="s">
        <v>137</v>
      </c>
      <c r="C1548" s="65" t="s">
        <v>130</v>
      </c>
      <c r="D1548" s="65" t="s">
        <v>131</v>
      </c>
      <c r="E1548" s="65" t="s">
        <v>132</v>
      </c>
    </row>
    <row r="1549" spans="1:5" x14ac:dyDescent="0.45">
      <c r="A1549">
        <v>20260220</v>
      </c>
      <c r="B1549" s="65" t="s">
        <v>225</v>
      </c>
      <c r="C1549" s="65" t="s">
        <v>130</v>
      </c>
      <c r="D1549" s="65" t="s">
        <v>139</v>
      </c>
      <c r="E1549" s="65" t="s">
        <v>133</v>
      </c>
    </row>
    <row r="1550" spans="1:5" x14ac:dyDescent="0.45">
      <c r="A1550">
        <v>20260221</v>
      </c>
      <c r="B1550" s="65" t="s">
        <v>133</v>
      </c>
      <c r="C1550" s="65" t="s">
        <v>130</v>
      </c>
      <c r="D1550" s="65" t="s">
        <v>134</v>
      </c>
      <c r="E1550" s="65" t="s">
        <v>133</v>
      </c>
    </row>
    <row r="1551" spans="1:5" x14ac:dyDescent="0.45">
      <c r="A1551">
        <v>20260222</v>
      </c>
      <c r="B1551" s="65" t="s">
        <v>133</v>
      </c>
      <c r="C1551" s="65" t="s">
        <v>130</v>
      </c>
      <c r="D1551" s="65" t="s">
        <v>134</v>
      </c>
      <c r="E1551" s="65" t="s">
        <v>133</v>
      </c>
    </row>
    <row r="1552" spans="1:5" x14ac:dyDescent="0.45">
      <c r="A1552">
        <v>20260227</v>
      </c>
      <c r="B1552" s="65" t="s">
        <v>133</v>
      </c>
      <c r="C1552" s="65" t="s">
        <v>130</v>
      </c>
      <c r="D1552" s="65" t="s">
        <v>139</v>
      </c>
      <c r="E1552" s="65" t="s">
        <v>133</v>
      </c>
    </row>
    <row r="1553" spans="1:5" x14ac:dyDescent="0.45">
      <c r="A1553">
        <v>20260228</v>
      </c>
      <c r="B1553" s="65" t="s">
        <v>145</v>
      </c>
      <c r="C1553" s="65" t="s">
        <v>130</v>
      </c>
      <c r="D1553" s="65" t="s">
        <v>131</v>
      </c>
      <c r="E1553" s="65" t="s">
        <v>226</v>
      </c>
    </row>
    <row r="1554" spans="1:5" x14ac:dyDescent="0.45">
      <c r="A1554">
        <v>20260301</v>
      </c>
      <c r="B1554" s="65" t="s">
        <v>133</v>
      </c>
      <c r="C1554" s="65" t="s">
        <v>130</v>
      </c>
      <c r="D1554" s="65" t="s">
        <v>134</v>
      </c>
      <c r="E1554" s="65" t="s">
        <v>133</v>
      </c>
    </row>
    <row r="1555" spans="1:5" x14ac:dyDescent="0.45">
      <c r="A1555">
        <v>20260307</v>
      </c>
      <c r="B1555" s="65" t="s">
        <v>133</v>
      </c>
      <c r="C1555" s="65" t="s">
        <v>130</v>
      </c>
      <c r="D1555" s="65" t="s">
        <v>134</v>
      </c>
      <c r="E1555" s="65" t="s">
        <v>133</v>
      </c>
    </row>
    <row r="1556" spans="1:5" x14ac:dyDescent="0.45">
      <c r="A1556">
        <v>20260308</v>
      </c>
      <c r="B1556" s="65" t="s">
        <v>133</v>
      </c>
      <c r="C1556" s="65" t="s">
        <v>130</v>
      </c>
      <c r="D1556" s="65" t="s">
        <v>134</v>
      </c>
      <c r="E1556" s="65" t="s">
        <v>133</v>
      </c>
    </row>
    <row r="1557" spans="1:5" x14ac:dyDescent="0.45">
      <c r="A1557">
        <v>20260314</v>
      </c>
      <c r="B1557" s="65" t="s">
        <v>133</v>
      </c>
      <c r="C1557" s="65" t="s">
        <v>130</v>
      </c>
      <c r="D1557" s="65" t="s">
        <v>134</v>
      </c>
      <c r="E1557" s="65" t="s">
        <v>133</v>
      </c>
    </row>
    <row r="1558" spans="1:5" x14ac:dyDescent="0.45">
      <c r="A1558">
        <v>20260315</v>
      </c>
      <c r="B1558" s="65" t="s">
        <v>133</v>
      </c>
      <c r="C1558" s="65" t="s">
        <v>130</v>
      </c>
      <c r="D1558" s="65" t="s">
        <v>134</v>
      </c>
      <c r="E1558" s="65" t="s">
        <v>133</v>
      </c>
    </row>
    <row r="1559" spans="1:5" x14ac:dyDescent="0.45">
      <c r="A1559">
        <v>20260321</v>
      </c>
      <c r="B1559" s="65" t="s">
        <v>133</v>
      </c>
      <c r="C1559" s="65" t="s">
        <v>130</v>
      </c>
      <c r="D1559" s="65" t="s">
        <v>134</v>
      </c>
      <c r="E1559" s="65" t="s">
        <v>133</v>
      </c>
    </row>
    <row r="1560" spans="1:5" x14ac:dyDescent="0.45">
      <c r="A1560">
        <v>20260322</v>
      </c>
      <c r="B1560" s="65" t="s">
        <v>133</v>
      </c>
      <c r="C1560" s="65" t="s">
        <v>130</v>
      </c>
      <c r="D1560" s="65" t="s">
        <v>134</v>
      </c>
      <c r="E1560" s="65" t="s">
        <v>133</v>
      </c>
    </row>
    <row r="1561" spans="1:5" x14ac:dyDescent="0.45">
      <c r="A1561">
        <v>20260328</v>
      </c>
      <c r="B1561" s="65" t="s">
        <v>133</v>
      </c>
      <c r="C1561" s="65" t="s">
        <v>130</v>
      </c>
      <c r="D1561" s="65" t="s">
        <v>134</v>
      </c>
      <c r="E1561" s="65" t="s">
        <v>133</v>
      </c>
    </row>
    <row r="1562" spans="1:5" x14ac:dyDescent="0.45">
      <c r="A1562">
        <v>20260329</v>
      </c>
      <c r="B1562" s="65" t="s">
        <v>133</v>
      </c>
      <c r="C1562" s="65" t="s">
        <v>130</v>
      </c>
      <c r="D1562" s="65" t="s">
        <v>134</v>
      </c>
      <c r="E1562" s="65" t="s">
        <v>133</v>
      </c>
    </row>
    <row r="1563" spans="1:5" x14ac:dyDescent="0.45">
      <c r="A1563">
        <v>20260403</v>
      </c>
      <c r="B1563" s="65" t="s">
        <v>133</v>
      </c>
      <c r="C1563" s="65" t="s">
        <v>130</v>
      </c>
      <c r="D1563" s="65" t="s">
        <v>139</v>
      </c>
      <c r="E1563" s="65" t="s">
        <v>133</v>
      </c>
    </row>
    <row r="1564" spans="1:5" x14ac:dyDescent="0.45">
      <c r="A1564">
        <v>20260404</v>
      </c>
      <c r="B1564" s="65" t="s">
        <v>164</v>
      </c>
      <c r="C1564" s="65" t="s">
        <v>130</v>
      </c>
      <c r="D1564" s="65" t="s">
        <v>131</v>
      </c>
      <c r="E1564" s="65" t="s">
        <v>227</v>
      </c>
    </row>
    <row r="1565" spans="1:5" x14ac:dyDescent="0.45">
      <c r="A1565">
        <v>20260405</v>
      </c>
      <c r="B1565" s="65" t="s">
        <v>228</v>
      </c>
      <c r="C1565" s="65" t="s">
        <v>130</v>
      </c>
      <c r="D1565" s="65" t="s">
        <v>131</v>
      </c>
      <c r="E1565" s="65" t="s">
        <v>229</v>
      </c>
    </row>
    <row r="1566" spans="1:5" x14ac:dyDescent="0.45">
      <c r="A1566">
        <v>20260406</v>
      </c>
      <c r="B1566" s="65" t="s">
        <v>133</v>
      </c>
      <c r="C1566" s="65" t="s">
        <v>130</v>
      </c>
      <c r="D1566" s="65" t="s">
        <v>139</v>
      </c>
      <c r="E1566" s="65" t="s">
        <v>133</v>
      </c>
    </row>
    <row r="1567" spans="1:5" x14ac:dyDescent="0.45">
      <c r="A1567">
        <v>20260411</v>
      </c>
      <c r="B1567" s="65" t="s">
        <v>133</v>
      </c>
      <c r="C1567" s="65" t="s">
        <v>130</v>
      </c>
      <c r="D1567" s="65" t="s">
        <v>134</v>
      </c>
      <c r="E1567" s="65" t="s">
        <v>133</v>
      </c>
    </row>
    <row r="1568" spans="1:5" x14ac:dyDescent="0.45">
      <c r="A1568">
        <v>20260412</v>
      </c>
      <c r="B1568" s="65" t="s">
        <v>133</v>
      </c>
      <c r="C1568" s="65" t="s">
        <v>130</v>
      </c>
      <c r="D1568" s="65" t="s">
        <v>134</v>
      </c>
      <c r="E1568" s="65" t="s">
        <v>133</v>
      </c>
    </row>
    <row r="1569" spans="1:5" x14ac:dyDescent="0.45">
      <c r="A1569">
        <v>20260418</v>
      </c>
      <c r="B1569" s="65" t="s">
        <v>133</v>
      </c>
      <c r="C1569" s="65" t="s">
        <v>130</v>
      </c>
      <c r="D1569" s="65" t="s">
        <v>134</v>
      </c>
      <c r="E1569" s="65" t="s">
        <v>133</v>
      </c>
    </row>
    <row r="1570" spans="1:5" x14ac:dyDescent="0.45">
      <c r="A1570">
        <v>20260419</v>
      </c>
      <c r="B1570" s="65" t="s">
        <v>133</v>
      </c>
      <c r="C1570" s="65" t="s">
        <v>130</v>
      </c>
      <c r="D1570" s="65" t="s">
        <v>134</v>
      </c>
      <c r="E1570" s="65" t="s">
        <v>133</v>
      </c>
    </row>
    <row r="1571" spans="1:5" x14ac:dyDescent="0.45">
      <c r="A1571">
        <v>20260425</v>
      </c>
      <c r="B1571" s="65" t="s">
        <v>133</v>
      </c>
      <c r="C1571" s="65" t="s">
        <v>130</v>
      </c>
      <c r="D1571" s="65" t="s">
        <v>134</v>
      </c>
      <c r="E1571" s="65" t="s">
        <v>133</v>
      </c>
    </row>
    <row r="1572" spans="1:5" x14ac:dyDescent="0.45">
      <c r="A1572">
        <v>20260426</v>
      </c>
      <c r="B1572" s="65" t="s">
        <v>133</v>
      </c>
      <c r="C1572" s="65" t="s">
        <v>130</v>
      </c>
      <c r="D1572" s="65" t="s">
        <v>134</v>
      </c>
      <c r="E1572" s="65" t="s">
        <v>133</v>
      </c>
    </row>
    <row r="1573" spans="1:5" x14ac:dyDescent="0.45">
      <c r="A1573">
        <v>20260501</v>
      </c>
      <c r="B1573" s="65" t="s">
        <v>152</v>
      </c>
      <c r="C1573" s="65" t="s">
        <v>130</v>
      </c>
      <c r="D1573" s="65" t="s">
        <v>131</v>
      </c>
      <c r="E1573" s="65" t="s">
        <v>132</v>
      </c>
    </row>
    <row r="1574" spans="1:5" x14ac:dyDescent="0.45">
      <c r="A1574">
        <v>20260502</v>
      </c>
      <c r="B1574" s="65" t="s">
        <v>133</v>
      </c>
      <c r="C1574" s="65" t="s">
        <v>130</v>
      </c>
      <c r="D1574" s="65" t="s">
        <v>134</v>
      </c>
      <c r="E1574" s="65" t="s">
        <v>133</v>
      </c>
    </row>
    <row r="1575" spans="1:5" x14ac:dyDescent="0.45">
      <c r="A1575">
        <v>20260503</v>
      </c>
      <c r="B1575" s="65" t="s">
        <v>133</v>
      </c>
      <c r="C1575" s="65" t="s">
        <v>130</v>
      </c>
      <c r="D1575" s="65" t="s">
        <v>134</v>
      </c>
      <c r="E1575" s="65" t="s">
        <v>133</v>
      </c>
    </row>
    <row r="1576" spans="1:5" x14ac:dyDescent="0.45">
      <c r="A1576">
        <v>20260509</v>
      </c>
      <c r="B1576" s="65" t="s">
        <v>133</v>
      </c>
      <c r="C1576" s="65" t="s">
        <v>130</v>
      </c>
      <c r="D1576" s="65" t="s">
        <v>134</v>
      </c>
      <c r="E1576" s="65" t="s">
        <v>133</v>
      </c>
    </row>
    <row r="1577" spans="1:5" x14ac:dyDescent="0.45">
      <c r="A1577">
        <v>20260510</v>
      </c>
      <c r="B1577" s="65" t="s">
        <v>133</v>
      </c>
      <c r="C1577" s="65" t="s">
        <v>130</v>
      </c>
      <c r="D1577" s="65" t="s">
        <v>134</v>
      </c>
      <c r="E1577" s="65" t="s">
        <v>133</v>
      </c>
    </row>
    <row r="1578" spans="1:5" x14ac:dyDescent="0.45">
      <c r="A1578">
        <v>20260516</v>
      </c>
      <c r="B1578" s="65" t="s">
        <v>133</v>
      </c>
      <c r="C1578" s="65" t="s">
        <v>130</v>
      </c>
      <c r="D1578" s="65" t="s">
        <v>134</v>
      </c>
      <c r="E1578" s="65" t="s">
        <v>133</v>
      </c>
    </row>
    <row r="1579" spans="1:5" x14ac:dyDescent="0.45">
      <c r="A1579">
        <v>20260517</v>
      </c>
      <c r="B1579" s="65" t="s">
        <v>133</v>
      </c>
      <c r="C1579" s="65" t="s">
        <v>130</v>
      </c>
      <c r="D1579" s="65" t="s">
        <v>134</v>
      </c>
      <c r="E1579" s="65" t="s">
        <v>133</v>
      </c>
    </row>
    <row r="1580" spans="1:5" x14ac:dyDescent="0.45">
      <c r="A1580">
        <v>20260523</v>
      </c>
      <c r="B1580" s="65" t="s">
        <v>133</v>
      </c>
      <c r="C1580" s="65" t="s">
        <v>130</v>
      </c>
      <c r="D1580" s="65" t="s">
        <v>134</v>
      </c>
      <c r="E1580" s="65" t="s">
        <v>133</v>
      </c>
    </row>
    <row r="1581" spans="1:5" x14ac:dyDescent="0.45">
      <c r="A1581">
        <v>20260524</v>
      </c>
      <c r="B1581" s="65" t="s">
        <v>133</v>
      </c>
      <c r="C1581" s="65" t="s">
        <v>130</v>
      </c>
      <c r="D1581" s="65" t="s">
        <v>134</v>
      </c>
      <c r="E1581" s="65" t="s">
        <v>133</v>
      </c>
    </row>
    <row r="1582" spans="1:5" x14ac:dyDescent="0.45">
      <c r="A1582">
        <v>20260530</v>
      </c>
      <c r="B1582" s="65" t="s">
        <v>133</v>
      </c>
      <c r="C1582" s="65" t="s">
        <v>130</v>
      </c>
      <c r="D1582" s="65" t="s">
        <v>134</v>
      </c>
      <c r="E1582" s="65" t="s">
        <v>133</v>
      </c>
    </row>
    <row r="1583" spans="1:5" x14ac:dyDescent="0.45">
      <c r="A1583">
        <v>20260531</v>
      </c>
      <c r="B1583" s="65" t="s">
        <v>133</v>
      </c>
      <c r="C1583" s="65" t="s">
        <v>130</v>
      </c>
      <c r="D1583" s="65" t="s">
        <v>134</v>
      </c>
      <c r="E1583" s="65" t="s">
        <v>133</v>
      </c>
    </row>
    <row r="1584" spans="1:5" x14ac:dyDescent="0.45">
      <c r="A1584">
        <v>20260606</v>
      </c>
      <c r="B1584" s="65" t="s">
        <v>133</v>
      </c>
      <c r="C1584" s="65" t="s">
        <v>130</v>
      </c>
      <c r="D1584" s="65" t="s">
        <v>134</v>
      </c>
      <c r="E1584" s="65" t="s">
        <v>133</v>
      </c>
    </row>
    <row r="1585" spans="1:5" x14ac:dyDescent="0.45">
      <c r="A1585">
        <v>20260607</v>
      </c>
      <c r="B1585" s="65" t="s">
        <v>133</v>
      </c>
      <c r="C1585" s="65" t="s">
        <v>130</v>
      </c>
      <c r="D1585" s="65" t="s">
        <v>134</v>
      </c>
      <c r="E1585" s="65" t="s">
        <v>133</v>
      </c>
    </row>
    <row r="1586" spans="1:5" x14ac:dyDescent="0.45">
      <c r="A1586">
        <v>20260613</v>
      </c>
      <c r="B1586" s="65" t="s">
        <v>133</v>
      </c>
      <c r="C1586" s="65" t="s">
        <v>130</v>
      </c>
      <c r="D1586" s="65" t="s">
        <v>134</v>
      </c>
      <c r="E1586" s="65" t="s">
        <v>133</v>
      </c>
    </row>
    <row r="1587" spans="1:5" x14ac:dyDescent="0.45">
      <c r="A1587">
        <v>20260614</v>
      </c>
      <c r="B1587" s="65" t="s">
        <v>133</v>
      </c>
      <c r="C1587" s="65" t="s">
        <v>130</v>
      </c>
      <c r="D1587" s="65" t="s">
        <v>134</v>
      </c>
      <c r="E1587" s="65" t="s">
        <v>133</v>
      </c>
    </row>
    <row r="1588" spans="1:5" x14ac:dyDescent="0.45">
      <c r="A1588">
        <v>20260619</v>
      </c>
      <c r="B1588" s="65" t="s">
        <v>153</v>
      </c>
      <c r="C1588" s="65" t="s">
        <v>130</v>
      </c>
      <c r="D1588" s="65" t="s">
        <v>131</v>
      </c>
      <c r="E1588" s="65" t="s">
        <v>132</v>
      </c>
    </row>
    <row r="1589" spans="1:5" x14ac:dyDescent="0.45">
      <c r="A1589">
        <v>20260620</v>
      </c>
      <c r="B1589" s="65" t="s">
        <v>133</v>
      </c>
      <c r="C1589" s="65" t="s">
        <v>130</v>
      </c>
      <c r="D1589" s="65" t="s">
        <v>134</v>
      </c>
      <c r="E1589" s="65" t="s">
        <v>133</v>
      </c>
    </row>
    <row r="1590" spans="1:5" x14ac:dyDescent="0.45">
      <c r="A1590">
        <v>20260621</v>
      </c>
      <c r="B1590" s="65" t="s">
        <v>133</v>
      </c>
      <c r="C1590" s="65" t="s">
        <v>130</v>
      </c>
      <c r="D1590" s="65" t="s">
        <v>134</v>
      </c>
      <c r="E1590" s="65" t="s">
        <v>133</v>
      </c>
    </row>
    <row r="1591" spans="1:5" x14ac:dyDescent="0.45">
      <c r="A1591">
        <v>20260627</v>
      </c>
      <c r="B1591" s="65" t="s">
        <v>133</v>
      </c>
      <c r="C1591" s="65" t="s">
        <v>130</v>
      </c>
      <c r="D1591" s="65" t="s">
        <v>134</v>
      </c>
      <c r="E1591" s="65" t="s">
        <v>133</v>
      </c>
    </row>
    <row r="1592" spans="1:5" x14ac:dyDescent="0.45">
      <c r="A1592">
        <v>20260628</v>
      </c>
      <c r="B1592" s="65" t="s">
        <v>133</v>
      </c>
      <c r="C1592" s="65" t="s">
        <v>130</v>
      </c>
      <c r="D1592" s="65" t="s">
        <v>134</v>
      </c>
      <c r="E1592" s="65" t="s">
        <v>133</v>
      </c>
    </row>
    <row r="1593" spans="1:5" x14ac:dyDescent="0.45">
      <c r="A1593">
        <v>20260704</v>
      </c>
      <c r="B1593" s="65" t="s">
        <v>133</v>
      </c>
      <c r="C1593" s="65" t="s">
        <v>130</v>
      </c>
      <c r="D1593" s="65" t="s">
        <v>134</v>
      </c>
      <c r="E1593" s="65" t="s">
        <v>133</v>
      </c>
    </row>
    <row r="1594" spans="1:5" x14ac:dyDescent="0.45">
      <c r="A1594">
        <v>20260705</v>
      </c>
      <c r="B1594" s="65" t="s">
        <v>133</v>
      </c>
      <c r="C1594" s="65" t="s">
        <v>130</v>
      </c>
      <c r="D1594" s="65" t="s">
        <v>134</v>
      </c>
      <c r="E1594" s="65" t="s">
        <v>133</v>
      </c>
    </row>
    <row r="1595" spans="1:5" x14ac:dyDescent="0.45">
      <c r="A1595">
        <v>20260711</v>
      </c>
      <c r="B1595" s="65" t="s">
        <v>133</v>
      </c>
      <c r="C1595" s="65" t="s">
        <v>130</v>
      </c>
      <c r="D1595" s="65" t="s">
        <v>134</v>
      </c>
      <c r="E1595" s="65" t="s">
        <v>133</v>
      </c>
    </row>
    <row r="1596" spans="1:5" x14ac:dyDescent="0.45">
      <c r="A1596">
        <v>20260712</v>
      </c>
      <c r="B1596" s="65" t="s">
        <v>133</v>
      </c>
      <c r="C1596" s="65" t="s">
        <v>130</v>
      </c>
      <c r="D1596" s="65" t="s">
        <v>134</v>
      </c>
      <c r="E1596" s="65" t="s">
        <v>133</v>
      </c>
    </row>
    <row r="1597" spans="1:5" x14ac:dyDescent="0.45">
      <c r="A1597">
        <v>20260718</v>
      </c>
      <c r="B1597" s="65" t="s">
        <v>133</v>
      </c>
      <c r="C1597" s="65" t="s">
        <v>130</v>
      </c>
      <c r="D1597" s="65" t="s">
        <v>134</v>
      </c>
      <c r="E1597" s="65" t="s">
        <v>133</v>
      </c>
    </row>
    <row r="1598" spans="1:5" x14ac:dyDescent="0.45">
      <c r="A1598">
        <v>20260719</v>
      </c>
      <c r="B1598" s="65" t="s">
        <v>133</v>
      </c>
      <c r="C1598" s="65" t="s">
        <v>130</v>
      </c>
      <c r="D1598" s="65" t="s">
        <v>134</v>
      </c>
      <c r="E1598" s="65" t="s">
        <v>133</v>
      </c>
    </row>
    <row r="1599" spans="1:5" x14ac:dyDescent="0.45">
      <c r="A1599">
        <v>20260725</v>
      </c>
      <c r="B1599" s="65" t="s">
        <v>133</v>
      </c>
      <c r="C1599" s="65" t="s">
        <v>130</v>
      </c>
      <c r="D1599" s="65" t="s">
        <v>134</v>
      </c>
      <c r="E1599" s="65" t="s">
        <v>133</v>
      </c>
    </row>
    <row r="1600" spans="1:5" x14ac:dyDescent="0.45">
      <c r="A1600">
        <v>20260726</v>
      </c>
      <c r="B1600" s="65" t="s">
        <v>133</v>
      </c>
      <c r="C1600" s="65" t="s">
        <v>130</v>
      </c>
      <c r="D1600" s="65" t="s">
        <v>134</v>
      </c>
      <c r="E1600" s="65" t="s">
        <v>133</v>
      </c>
    </row>
    <row r="1601" spans="1:5" x14ac:dyDescent="0.45">
      <c r="A1601">
        <v>20260801</v>
      </c>
      <c r="B1601" s="65" t="s">
        <v>133</v>
      </c>
      <c r="C1601" s="65" t="s">
        <v>130</v>
      </c>
      <c r="D1601" s="65" t="s">
        <v>134</v>
      </c>
      <c r="E1601" s="65" t="s">
        <v>133</v>
      </c>
    </row>
    <row r="1602" spans="1:5" x14ac:dyDescent="0.45">
      <c r="A1602">
        <v>20260802</v>
      </c>
      <c r="B1602" s="65" t="s">
        <v>133</v>
      </c>
      <c r="C1602" s="65" t="s">
        <v>130</v>
      </c>
      <c r="D1602" s="65" t="s">
        <v>134</v>
      </c>
      <c r="E1602" s="65" t="s">
        <v>133</v>
      </c>
    </row>
    <row r="1603" spans="1:5" x14ac:dyDescent="0.45">
      <c r="A1603">
        <v>20260808</v>
      </c>
      <c r="B1603" s="65" t="s">
        <v>133</v>
      </c>
      <c r="C1603" s="65" t="s">
        <v>130</v>
      </c>
      <c r="D1603" s="65" t="s">
        <v>134</v>
      </c>
      <c r="E1603" s="65" t="s">
        <v>133</v>
      </c>
    </row>
    <row r="1604" spans="1:5" x14ac:dyDescent="0.45">
      <c r="A1604">
        <v>20260809</v>
      </c>
      <c r="B1604" s="65" t="s">
        <v>133</v>
      </c>
      <c r="C1604" s="65" t="s">
        <v>130</v>
      </c>
      <c r="D1604" s="65" t="s">
        <v>134</v>
      </c>
      <c r="E1604" s="65" t="s">
        <v>133</v>
      </c>
    </row>
    <row r="1605" spans="1:5" x14ac:dyDescent="0.45">
      <c r="A1605">
        <v>20260815</v>
      </c>
      <c r="B1605" s="65" t="s">
        <v>133</v>
      </c>
      <c r="C1605" s="65" t="s">
        <v>130</v>
      </c>
      <c r="D1605" s="65" t="s">
        <v>134</v>
      </c>
      <c r="E1605" s="65" t="s">
        <v>133</v>
      </c>
    </row>
    <row r="1606" spans="1:5" x14ac:dyDescent="0.45">
      <c r="A1606">
        <v>20260816</v>
      </c>
      <c r="B1606" s="65" t="s">
        <v>133</v>
      </c>
      <c r="C1606" s="65" t="s">
        <v>130</v>
      </c>
      <c r="D1606" s="65" t="s">
        <v>134</v>
      </c>
      <c r="E1606" s="65" t="s">
        <v>133</v>
      </c>
    </row>
    <row r="1607" spans="1:5" x14ac:dyDescent="0.45">
      <c r="A1607">
        <v>20260822</v>
      </c>
      <c r="B1607" s="65" t="s">
        <v>133</v>
      </c>
      <c r="C1607" s="65" t="s">
        <v>130</v>
      </c>
      <c r="D1607" s="65" t="s">
        <v>134</v>
      </c>
      <c r="E1607" s="65" t="s">
        <v>133</v>
      </c>
    </row>
    <row r="1608" spans="1:5" x14ac:dyDescent="0.45">
      <c r="A1608">
        <v>20260823</v>
      </c>
      <c r="B1608" s="65" t="s">
        <v>133</v>
      </c>
      <c r="C1608" s="65" t="s">
        <v>130</v>
      </c>
      <c r="D1608" s="65" t="s">
        <v>134</v>
      </c>
      <c r="E1608" s="65" t="s">
        <v>133</v>
      </c>
    </row>
    <row r="1609" spans="1:5" x14ac:dyDescent="0.45">
      <c r="A1609">
        <v>20260829</v>
      </c>
      <c r="B1609" s="65" t="s">
        <v>133</v>
      </c>
      <c r="C1609" s="65" t="s">
        <v>130</v>
      </c>
      <c r="D1609" s="65" t="s">
        <v>134</v>
      </c>
      <c r="E1609" s="65" t="s">
        <v>133</v>
      </c>
    </row>
    <row r="1610" spans="1:5" x14ac:dyDescent="0.45">
      <c r="A1610">
        <v>20260830</v>
      </c>
      <c r="B1610" s="65" t="s">
        <v>133</v>
      </c>
      <c r="C1610" s="65" t="s">
        <v>130</v>
      </c>
      <c r="D1610" s="65" t="s">
        <v>134</v>
      </c>
      <c r="E1610" s="65" t="s">
        <v>133</v>
      </c>
    </row>
    <row r="1611" spans="1:5" x14ac:dyDescent="0.45">
      <c r="A1611">
        <v>20260905</v>
      </c>
      <c r="B1611" s="65" t="s">
        <v>133</v>
      </c>
      <c r="C1611" s="65" t="s">
        <v>130</v>
      </c>
      <c r="D1611" s="65" t="s">
        <v>134</v>
      </c>
      <c r="E1611" s="65" t="s">
        <v>133</v>
      </c>
    </row>
    <row r="1612" spans="1:5" x14ac:dyDescent="0.45">
      <c r="A1612">
        <v>20260906</v>
      </c>
      <c r="B1612" s="65" t="s">
        <v>133</v>
      </c>
      <c r="C1612" s="65" t="s">
        <v>130</v>
      </c>
      <c r="D1612" s="65" t="s">
        <v>134</v>
      </c>
      <c r="E1612" s="65" t="s">
        <v>133</v>
      </c>
    </row>
    <row r="1613" spans="1:5" x14ac:dyDescent="0.45">
      <c r="A1613">
        <v>20260912</v>
      </c>
      <c r="B1613" s="65" t="s">
        <v>133</v>
      </c>
      <c r="C1613" s="65" t="s">
        <v>130</v>
      </c>
      <c r="D1613" s="65" t="s">
        <v>134</v>
      </c>
      <c r="E1613" s="65" t="s">
        <v>133</v>
      </c>
    </row>
    <row r="1614" spans="1:5" x14ac:dyDescent="0.45">
      <c r="A1614">
        <v>20260913</v>
      </c>
      <c r="B1614" s="65" t="s">
        <v>133</v>
      </c>
      <c r="C1614" s="65" t="s">
        <v>130</v>
      </c>
      <c r="D1614" s="65" t="s">
        <v>134</v>
      </c>
      <c r="E1614" s="65" t="s">
        <v>133</v>
      </c>
    </row>
    <row r="1615" spans="1:5" x14ac:dyDescent="0.45">
      <c r="A1615">
        <v>20260919</v>
      </c>
      <c r="B1615" s="65" t="s">
        <v>133</v>
      </c>
      <c r="C1615" s="65" t="s">
        <v>130</v>
      </c>
      <c r="D1615" s="65" t="s">
        <v>134</v>
      </c>
      <c r="E1615" s="65" t="s">
        <v>133</v>
      </c>
    </row>
    <row r="1616" spans="1:5" x14ac:dyDescent="0.45">
      <c r="A1616">
        <v>20260920</v>
      </c>
      <c r="B1616" s="65" t="s">
        <v>133</v>
      </c>
      <c r="C1616" s="65" t="s">
        <v>130</v>
      </c>
      <c r="D1616" s="65" t="s">
        <v>134</v>
      </c>
      <c r="E1616" s="65" t="s">
        <v>133</v>
      </c>
    </row>
    <row r="1617" spans="1:5" x14ac:dyDescent="0.45">
      <c r="A1617">
        <v>20260925</v>
      </c>
      <c r="B1617" s="65" t="s">
        <v>154</v>
      </c>
      <c r="C1617" s="65" t="s">
        <v>130</v>
      </c>
      <c r="D1617" s="65" t="s">
        <v>131</v>
      </c>
      <c r="E1617" s="65" t="s">
        <v>132</v>
      </c>
    </row>
    <row r="1618" spans="1:5" x14ac:dyDescent="0.45">
      <c r="A1618">
        <v>20260926</v>
      </c>
      <c r="B1618" s="65" t="s">
        <v>133</v>
      </c>
      <c r="C1618" s="65" t="s">
        <v>130</v>
      </c>
      <c r="D1618" s="65" t="s">
        <v>134</v>
      </c>
      <c r="E1618" s="65" t="s">
        <v>133</v>
      </c>
    </row>
    <row r="1619" spans="1:5" x14ac:dyDescent="0.45">
      <c r="A1619">
        <v>20260927</v>
      </c>
      <c r="B1619" s="65" t="s">
        <v>133</v>
      </c>
      <c r="C1619" s="65" t="s">
        <v>130</v>
      </c>
      <c r="D1619" s="65" t="s">
        <v>134</v>
      </c>
      <c r="E1619" s="65" t="s">
        <v>133</v>
      </c>
    </row>
    <row r="1620" spans="1:5" x14ac:dyDescent="0.45">
      <c r="A1620">
        <v>20260928</v>
      </c>
      <c r="B1620" s="65" t="s">
        <v>219</v>
      </c>
      <c r="C1620" s="65" t="s">
        <v>130</v>
      </c>
      <c r="D1620" s="65" t="s">
        <v>131</v>
      </c>
      <c r="E1620" s="65" t="s">
        <v>132</v>
      </c>
    </row>
    <row r="1621" spans="1:5" x14ac:dyDescent="0.45">
      <c r="A1621">
        <v>20261003</v>
      </c>
      <c r="B1621" s="65" t="s">
        <v>133</v>
      </c>
      <c r="C1621" s="65" t="s">
        <v>130</v>
      </c>
      <c r="D1621" s="65" t="s">
        <v>134</v>
      </c>
      <c r="E1621" s="65" t="s">
        <v>133</v>
      </c>
    </row>
    <row r="1622" spans="1:5" x14ac:dyDescent="0.45">
      <c r="A1622">
        <v>20261004</v>
      </c>
      <c r="B1622" s="65" t="s">
        <v>133</v>
      </c>
      <c r="C1622" s="65" t="s">
        <v>130</v>
      </c>
      <c r="D1622" s="65" t="s">
        <v>134</v>
      </c>
      <c r="E1622" s="65" t="s">
        <v>133</v>
      </c>
    </row>
    <row r="1623" spans="1:5" x14ac:dyDescent="0.45">
      <c r="A1623">
        <v>20261009</v>
      </c>
      <c r="B1623" s="65" t="s">
        <v>225</v>
      </c>
      <c r="C1623" s="65" t="s">
        <v>130</v>
      </c>
      <c r="D1623" s="65" t="s">
        <v>139</v>
      </c>
      <c r="E1623" s="65" t="s">
        <v>133</v>
      </c>
    </row>
    <row r="1624" spans="1:5" x14ac:dyDescent="0.45">
      <c r="A1624">
        <v>20261010</v>
      </c>
      <c r="B1624" s="65" t="s">
        <v>158</v>
      </c>
      <c r="C1624" s="65" t="s">
        <v>130</v>
      </c>
      <c r="D1624" s="65" t="s">
        <v>131</v>
      </c>
      <c r="E1624" s="65" t="s">
        <v>230</v>
      </c>
    </row>
    <row r="1625" spans="1:5" x14ac:dyDescent="0.45">
      <c r="A1625">
        <v>20261011</v>
      </c>
      <c r="B1625" s="65" t="s">
        <v>133</v>
      </c>
      <c r="C1625" s="65" t="s">
        <v>130</v>
      </c>
      <c r="D1625" s="65" t="s">
        <v>134</v>
      </c>
      <c r="E1625" s="65" t="s">
        <v>133</v>
      </c>
    </row>
    <row r="1626" spans="1:5" x14ac:dyDescent="0.45">
      <c r="A1626">
        <v>20261017</v>
      </c>
      <c r="B1626" s="65" t="s">
        <v>133</v>
      </c>
      <c r="C1626" s="65" t="s">
        <v>130</v>
      </c>
      <c r="D1626" s="65" t="s">
        <v>134</v>
      </c>
      <c r="E1626" s="65" t="s">
        <v>133</v>
      </c>
    </row>
    <row r="1627" spans="1:5" x14ac:dyDescent="0.45">
      <c r="A1627">
        <v>20261018</v>
      </c>
      <c r="B1627" s="65" t="s">
        <v>133</v>
      </c>
      <c r="C1627" s="65" t="s">
        <v>130</v>
      </c>
      <c r="D1627" s="65" t="s">
        <v>134</v>
      </c>
      <c r="E1627" s="65" t="s">
        <v>133</v>
      </c>
    </row>
    <row r="1628" spans="1:5" x14ac:dyDescent="0.45">
      <c r="A1628">
        <v>20261024</v>
      </c>
      <c r="B1628" s="65" t="s">
        <v>133</v>
      </c>
      <c r="C1628" s="65" t="s">
        <v>130</v>
      </c>
      <c r="D1628" s="65" t="s">
        <v>134</v>
      </c>
      <c r="E1628" s="65" t="s">
        <v>133</v>
      </c>
    </row>
    <row r="1629" spans="1:5" x14ac:dyDescent="0.45">
      <c r="A1629">
        <v>20261025</v>
      </c>
      <c r="B1629" s="65" t="s">
        <v>221</v>
      </c>
      <c r="C1629" s="65" t="s">
        <v>130</v>
      </c>
      <c r="D1629" s="65" t="s">
        <v>131</v>
      </c>
      <c r="E1629" s="65" t="s">
        <v>231</v>
      </c>
    </row>
    <row r="1630" spans="1:5" x14ac:dyDescent="0.45">
      <c r="A1630">
        <v>20261026</v>
      </c>
      <c r="B1630" s="65" t="s">
        <v>133</v>
      </c>
      <c r="C1630" s="65" t="s">
        <v>130</v>
      </c>
      <c r="D1630" s="65" t="s">
        <v>139</v>
      </c>
      <c r="E1630" s="65" t="s">
        <v>133</v>
      </c>
    </row>
    <row r="1631" spans="1:5" x14ac:dyDescent="0.45">
      <c r="A1631">
        <v>20261031</v>
      </c>
      <c r="B1631" s="65" t="s">
        <v>133</v>
      </c>
      <c r="C1631" s="65" t="s">
        <v>130</v>
      </c>
      <c r="D1631" s="65" t="s">
        <v>134</v>
      </c>
      <c r="E1631" s="65" t="s">
        <v>133</v>
      </c>
    </row>
    <row r="1632" spans="1:5" x14ac:dyDescent="0.45">
      <c r="A1632">
        <v>20261101</v>
      </c>
      <c r="B1632" s="65" t="s">
        <v>133</v>
      </c>
      <c r="C1632" s="65" t="s">
        <v>130</v>
      </c>
      <c r="D1632" s="65" t="s">
        <v>134</v>
      </c>
      <c r="E1632" s="65" t="s">
        <v>133</v>
      </c>
    </row>
    <row r="1633" spans="1:5" x14ac:dyDescent="0.45">
      <c r="A1633">
        <v>20261107</v>
      </c>
      <c r="B1633" s="65" t="s">
        <v>133</v>
      </c>
      <c r="C1633" s="65" t="s">
        <v>130</v>
      </c>
      <c r="D1633" s="65" t="s">
        <v>134</v>
      </c>
      <c r="E1633" s="65" t="s">
        <v>133</v>
      </c>
    </row>
    <row r="1634" spans="1:5" x14ac:dyDescent="0.45">
      <c r="A1634">
        <v>20261108</v>
      </c>
      <c r="B1634" s="65" t="s">
        <v>133</v>
      </c>
      <c r="C1634" s="65" t="s">
        <v>130</v>
      </c>
      <c r="D1634" s="65" t="s">
        <v>134</v>
      </c>
      <c r="E1634" s="65" t="s">
        <v>133</v>
      </c>
    </row>
    <row r="1635" spans="1:5" x14ac:dyDescent="0.45">
      <c r="A1635">
        <v>20261114</v>
      </c>
      <c r="B1635" s="65" t="s">
        <v>133</v>
      </c>
      <c r="C1635" s="65" t="s">
        <v>130</v>
      </c>
      <c r="D1635" s="65" t="s">
        <v>134</v>
      </c>
      <c r="E1635" s="65" t="s">
        <v>133</v>
      </c>
    </row>
    <row r="1636" spans="1:5" x14ac:dyDescent="0.45">
      <c r="A1636">
        <v>20261115</v>
      </c>
      <c r="B1636" s="65" t="s">
        <v>133</v>
      </c>
      <c r="C1636" s="65" t="s">
        <v>130</v>
      </c>
      <c r="D1636" s="65" t="s">
        <v>134</v>
      </c>
      <c r="E1636" s="65" t="s">
        <v>133</v>
      </c>
    </row>
    <row r="1637" spans="1:5" x14ac:dyDescent="0.45">
      <c r="A1637">
        <v>20261121</v>
      </c>
      <c r="B1637" s="65" t="s">
        <v>133</v>
      </c>
      <c r="C1637" s="65" t="s">
        <v>130</v>
      </c>
      <c r="D1637" s="65" t="s">
        <v>134</v>
      </c>
      <c r="E1637" s="65" t="s">
        <v>133</v>
      </c>
    </row>
    <row r="1638" spans="1:5" x14ac:dyDescent="0.45">
      <c r="A1638">
        <v>20261122</v>
      </c>
      <c r="B1638" s="65" t="s">
        <v>133</v>
      </c>
      <c r="C1638" s="65" t="s">
        <v>130</v>
      </c>
      <c r="D1638" s="65" t="s">
        <v>134</v>
      </c>
      <c r="E1638" s="65" t="s">
        <v>133</v>
      </c>
    </row>
    <row r="1639" spans="1:5" x14ac:dyDescent="0.45">
      <c r="A1639">
        <v>20261128</v>
      </c>
      <c r="B1639" s="65" t="s">
        <v>133</v>
      </c>
      <c r="C1639" s="65" t="s">
        <v>130</v>
      </c>
      <c r="D1639" s="65" t="s">
        <v>134</v>
      </c>
      <c r="E1639" s="65" t="s">
        <v>133</v>
      </c>
    </row>
    <row r="1640" spans="1:5" x14ac:dyDescent="0.45">
      <c r="A1640">
        <v>20261129</v>
      </c>
      <c r="B1640" s="65" t="s">
        <v>133</v>
      </c>
      <c r="C1640" s="65" t="s">
        <v>130</v>
      </c>
      <c r="D1640" s="65" t="s">
        <v>134</v>
      </c>
      <c r="E1640" s="65" t="s">
        <v>133</v>
      </c>
    </row>
    <row r="1641" spans="1:5" x14ac:dyDescent="0.45">
      <c r="A1641">
        <v>20261205</v>
      </c>
      <c r="B1641" s="65" t="s">
        <v>133</v>
      </c>
      <c r="C1641" s="65" t="s">
        <v>130</v>
      </c>
      <c r="D1641" s="65" t="s">
        <v>134</v>
      </c>
      <c r="E1641" s="65" t="s">
        <v>133</v>
      </c>
    </row>
    <row r="1642" spans="1:5" x14ac:dyDescent="0.45">
      <c r="A1642">
        <v>20261206</v>
      </c>
      <c r="B1642" s="65" t="s">
        <v>133</v>
      </c>
      <c r="C1642" s="65" t="s">
        <v>130</v>
      </c>
      <c r="D1642" s="65" t="s">
        <v>134</v>
      </c>
      <c r="E1642" s="65" t="s">
        <v>133</v>
      </c>
    </row>
    <row r="1643" spans="1:5" x14ac:dyDescent="0.45">
      <c r="A1643">
        <v>20261212</v>
      </c>
      <c r="B1643" s="65" t="s">
        <v>133</v>
      </c>
      <c r="C1643" s="65" t="s">
        <v>130</v>
      </c>
      <c r="D1643" s="65" t="s">
        <v>134</v>
      </c>
      <c r="E1643" s="65" t="s">
        <v>133</v>
      </c>
    </row>
    <row r="1644" spans="1:5" x14ac:dyDescent="0.45">
      <c r="A1644">
        <v>20261213</v>
      </c>
      <c r="B1644" s="65" t="s">
        <v>133</v>
      </c>
      <c r="C1644" s="65" t="s">
        <v>130</v>
      </c>
      <c r="D1644" s="65" t="s">
        <v>134</v>
      </c>
      <c r="E1644" s="65" t="s">
        <v>133</v>
      </c>
    </row>
    <row r="1645" spans="1:5" x14ac:dyDescent="0.45">
      <c r="A1645">
        <v>20261219</v>
      </c>
      <c r="B1645" s="65" t="s">
        <v>133</v>
      </c>
      <c r="C1645" s="65" t="s">
        <v>130</v>
      </c>
      <c r="D1645" s="65" t="s">
        <v>134</v>
      </c>
      <c r="E1645" s="65" t="s">
        <v>133</v>
      </c>
    </row>
    <row r="1646" spans="1:5" x14ac:dyDescent="0.45">
      <c r="A1646">
        <v>20261220</v>
      </c>
      <c r="B1646" s="65" t="s">
        <v>133</v>
      </c>
      <c r="C1646" s="65" t="s">
        <v>130</v>
      </c>
      <c r="D1646" s="65" t="s">
        <v>134</v>
      </c>
      <c r="E1646" s="65" t="s">
        <v>133</v>
      </c>
    </row>
    <row r="1647" spans="1:5" x14ac:dyDescent="0.45">
      <c r="A1647">
        <v>20261225</v>
      </c>
      <c r="B1647" s="65" t="s">
        <v>161</v>
      </c>
      <c r="C1647" s="65" t="s">
        <v>130</v>
      </c>
      <c r="D1647" s="65" t="s">
        <v>131</v>
      </c>
      <c r="E1647" s="65" t="s">
        <v>132</v>
      </c>
    </row>
    <row r="1648" spans="1:5" x14ac:dyDescent="0.45">
      <c r="A1648">
        <v>20261226</v>
      </c>
      <c r="B1648" s="65" t="s">
        <v>133</v>
      </c>
      <c r="C1648" s="65" t="s">
        <v>130</v>
      </c>
      <c r="D1648" s="65" t="s">
        <v>134</v>
      </c>
      <c r="E1648" s="65" t="s">
        <v>133</v>
      </c>
    </row>
    <row r="1649" spans="1:5" x14ac:dyDescent="0.45">
      <c r="A1649">
        <v>20261227</v>
      </c>
      <c r="B1649" s="65" t="s">
        <v>133</v>
      </c>
      <c r="C1649" s="65" t="s">
        <v>130</v>
      </c>
      <c r="D1649" s="65" t="s">
        <v>134</v>
      </c>
      <c r="E1649" s="65" t="s">
        <v>133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46"/>
  <sheetViews>
    <sheetView tabSelected="1" workbookViewId="0">
      <selection activeCell="A47" sqref="A47"/>
    </sheetView>
  </sheetViews>
  <sheetFormatPr defaultRowHeight="15" x14ac:dyDescent="0.45"/>
  <cols>
    <col min="1" max="1" width="4.5703125" customWidth="1"/>
    <col min="2" max="2" width="82.85546875" customWidth="1"/>
    <col min="3" max="3" width="4.5703125" customWidth="1"/>
    <col min="4" max="4" width="77.7109375" customWidth="1"/>
  </cols>
  <sheetData>
    <row r="1" spans="1:4" x14ac:dyDescent="0.45">
      <c r="B1" t="s">
        <v>20</v>
      </c>
      <c r="D1" t="s">
        <v>118</v>
      </c>
    </row>
    <row r="2" spans="1:4" x14ac:dyDescent="0.45">
      <c r="A2">
        <v>1</v>
      </c>
      <c r="B2" t="s">
        <v>82</v>
      </c>
    </row>
    <row r="3" spans="1:4" x14ac:dyDescent="0.45">
      <c r="B3" t="s">
        <v>21</v>
      </c>
      <c r="D3" t="s">
        <v>88</v>
      </c>
    </row>
    <row r="4" spans="1:4" x14ac:dyDescent="0.45">
      <c r="B4" t="s">
        <v>22</v>
      </c>
      <c r="D4" t="s">
        <v>89</v>
      </c>
    </row>
    <row r="5" spans="1:4" x14ac:dyDescent="0.45">
      <c r="A5">
        <v>1</v>
      </c>
      <c r="B5" t="s">
        <v>83</v>
      </c>
      <c r="D5" t="s">
        <v>71</v>
      </c>
    </row>
    <row r="6" spans="1:4" x14ac:dyDescent="0.45">
      <c r="A6">
        <v>2</v>
      </c>
      <c r="B6" t="s">
        <v>84</v>
      </c>
    </row>
    <row r="7" spans="1:4" x14ac:dyDescent="0.45">
      <c r="B7" t="s">
        <v>21</v>
      </c>
      <c r="D7" t="s">
        <v>90</v>
      </c>
    </row>
    <row r="8" spans="1:4" x14ac:dyDescent="0.45">
      <c r="B8" t="s">
        <v>23</v>
      </c>
      <c r="D8" t="s">
        <v>91</v>
      </c>
    </row>
    <row r="9" spans="1:4" x14ac:dyDescent="0.45">
      <c r="A9">
        <v>1</v>
      </c>
      <c r="B9" t="s">
        <v>72</v>
      </c>
      <c r="D9" t="s">
        <v>92</v>
      </c>
    </row>
    <row r="10" spans="1:4" x14ac:dyDescent="0.45">
      <c r="A10">
        <v>2</v>
      </c>
      <c r="B10" t="s">
        <v>73</v>
      </c>
    </row>
    <row r="11" spans="1:4" x14ac:dyDescent="0.45">
      <c r="A11">
        <v>3</v>
      </c>
      <c r="B11" t="s">
        <v>74</v>
      </c>
      <c r="D11" t="s">
        <v>97</v>
      </c>
    </row>
    <row r="12" spans="1:4" x14ac:dyDescent="0.45">
      <c r="A12">
        <v>4</v>
      </c>
      <c r="B12" t="s">
        <v>85</v>
      </c>
      <c r="D12" t="s">
        <v>98</v>
      </c>
    </row>
    <row r="13" spans="1:4" x14ac:dyDescent="0.45">
      <c r="B13" t="s">
        <v>21</v>
      </c>
      <c r="D13" t="s">
        <v>99</v>
      </c>
    </row>
    <row r="14" spans="1:4" x14ac:dyDescent="0.45">
      <c r="B14" t="s">
        <v>24</v>
      </c>
    </row>
    <row r="15" spans="1:4" x14ac:dyDescent="0.45">
      <c r="B15" t="s">
        <v>86</v>
      </c>
      <c r="D15" t="s">
        <v>105</v>
      </c>
    </row>
    <row r="16" spans="1:4" x14ac:dyDescent="0.45">
      <c r="B16" t="s">
        <v>21</v>
      </c>
      <c r="D16" t="s">
        <v>106</v>
      </c>
    </row>
    <row r="17" spans="1:2" x14ac:dyDescent="0.45">
      <c r="B17" t="s">
        <v>25</v>
      </c>
    </row>
    <row r="18" spans="1:2" x14ac:dyDescent="0.45">
      <c r="B18" t="s">
        <v>26</v>
      </c>
    </row>
    <row r="19" spans="1:2" x14ac:dyDescent="0.45">
      <c r="B19" t="s">
        <v>21</v>
      </c>
    </row>
    <row r="20" spans="1:2" x14ac:dyDescent="0.45">
      <c r="B20" t="s">
        <v>27</v>
      </c>
    </row>
    <row r="21" spans="1:2" x14ac:dyDescent="0.45">
      <c r="A21">
        <v>1</v>
      </c>
      <c r="B21" t="s">
        <v>77</v>
      </c>
    </row>
    <row r="22" spans="1:2" x14ac:dyDescent="0.45">
      <c r="A22">
        <v>2</v>
      </c>
      <c r="B22" t="s">
        <v>76</v>
      </c>
    </row>
    <row r="23" spans="1:2" x14ac:dyDescent="0.45">
      <c r="B23" t="s">
        <v>21</v>
      </c>
    </row>
    <row r="24" spans="1:2" x14ac:dyDescent="0.45">
      <c r="B24" t="s">
        <v>70</v>
      </c>
    </row>
    <row r="25" spans="1:2" x14ac:dyDescent="0.45">
      <c r="B25" t="s">
        <v>75</v>
      </c>
    </row>
    <row r="26" spans="1:2" x14ac:dyDescent="0.45">
      <c r="B26" t="s">
        <v>28</v>
      </c>
    </row>
    <row r="27" spans="1:2" x14ac:dyDescent="0.45">
      <c r="B27" t="s">
        <v>29</v>
      </c>
    </row>
    <row r="28" spans="1:2" x14ac:dyDescent="0.45">
      <c r="B28" t="s">
        <v>21</v>
      </c>
    </row>
    <row r="29" spans="1:2" x14ac:dyDescent="0.45">
      <c r="B29" t="s">
        <v>101</v>
      </c>
    </row>
    <row r="30" spans="1:2" x14ac:dyDescent="0.45">
      <c r="A30">
        <v>1</v>
      </c>
      <c r="B30" t="s">
        <v>93</v>
      </c>
    </row>
    <row r="31" spans="1:2" x14ac:dyDescent="0.45">
      <c r="A31">
        <v>2</v>
      </c>
      <c r="B31" t="s">
        <v>78</v>
      </c>
    </row>
    <row r="32" spans="1:2" x14ac:dyDescent="0.45">
      <c r="A32">
        <v>3</v>
      </c>
      <c r="B32" t="s">
        <v>79</v>
      </c>
    </row>
    <row r="33" spans="1:2" x14ac:dyDescent="0.45">
      <c r="A33">
        <v>4</v>
      </c>
      <c r="B33" t="s">
        <v>94</v>
      </c>
    </row>
    <row r="34" spans="1:2" x14ac:dyDescent="0.45">
      <c r="A34">
        <v>5</v>
      </c>
      <c r="B34" t="s">
        <v>80</v>
      </c>
    </row>
    <row r="35" spans="1:2" x14ac:dyDescent="0.45">
      <c r="A35">
        <v>6</v>
      </c>
      <c r="B35" t="s">
        <v>81</v>
      </c>
    </row>
    <row r="36" spans="1:2" x14ac:dyDescent="0.45">
      <c r="A36">
        <v>7</v>
      </c>
      <c r="B36" t="s">
        <v>95</v>
      </c>
    </row>
    <row r="37" spans="1:2" x14ac:dyDescent="0.45">
      <c r="A37">
        <v>8</v>
      </c>
      <c r="B37" t="s">
        <v>96</v>
      </c>
    </row>
    <row r="38" spans="1:2" x14ac:dyDescent="0.45">
      <c r="B38" t="s">
        <v>100</v>
      </c>
    </row>
    <row r="39" spans="1:2" x14ac:dyDescent="0.45">
      <c r="A39">
        <v>1</v>
      </c>
      <c r="B39" t="s">
        <v>117</v>
      </c>
    </row>
    <row r="40" spans="1:2" x14ac:dyDescent="0.45">
      <c r="A40">
        <v>2</v>
      </c>
      <c r="B40" t="s">
        <v>111</v>
      </c>
    </row>
    <row r="41" spans="1:2" x14ac:dyDescent="0.45">
      <c r="B41" t="s">
        <v>21</v>
      </c>
    </row>
    <row r="42" spans="1:2" x14ac:dyDescent="0.45">
      <c r="B42" t="s">
        <v>254</v>
      </c>
    </row>
    <row r="43" spans="1:2" x14ac:dyDescent="0.45">
      <c r="A43">
        <v>1</v>
      </c>
      <c r="B43" t="s">
        <v>255</v>
      </c>
    </row>
    <row r="44" spans="1:2" x14ac:dyDescent="0.45">
      <c r="A44">
        <v>2</v>
      </c>
      <c r="B44" t="s">
        <v>256</v>
      </c>
    </row>
    <row r="45" spans="1:2" x14ac:dyDescent="0.45">
      <c r="A45">
        <v>3</v>
      </c>
      <c r="B45" t="s">
        <v>257</v>
      </c>
    </row>
    <row r="46" spans="1:2" x14ac:dyDescent="0.45">
      <c r="A46">
        <v>4</v>
      </c>
      <c r="B46" t="s">
        <v>258</v>
      </c>
    </row>
  </sheetData>
  <phoneticPr fontId="1" type="noConversion"/>
  <pageMargins left="0.7" right="0.7" top="0.75" bottom="0.75" header="0.3" footer="0.3"/>
  <pageSetup paperSize="9" orientation="portrait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8D59AD-2FEB-40EF-81C3-9550E6A5B6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日曆_輸入區</vt:lpstr>
      <vt:lpstr>假別_設定區</vt:lpstr>
      <vt:lpstr>setting_py</vt:lpstr>
      <vt:lpstr>國定假日_web</vt:lpstr>
      <vt:lpstr>開發歷程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詹德中 KonYeeGee</cp:lastModifiedBy>
  <dcterms:created xsi:type="dcterms:W3CDTF">2015-06-05T18:19:34Z</dcterms:created>
  <dcterms:modified xsi:type="dcterms:W3CDTF">2025-12-16T13:40:57Z</dcterms:modified>
</cp:coreProperties>
</file>