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and\Downloads\code\tyfd_duty_time\"/>
    </mc:Choice>
  </mc:AlternateContent>
  <xr:revisionPtr revIDLastSave="0" documentId="13_ncr:1_{04C9FF1D-DE1B-485A-B878-5EC5023727CA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日曆_輸入區" sheetId="5" r:id="rId1"/>
    <sheet name="假別_設定區" sheetId="6" r:id="rId2"/>
    <sheet name="setting_py" sheetId="7" state="hidden" r:id="rId3"/>
    <sheet name="開發歷程" sheetId="2" r:id="rId4"/>
  </sheets>
  <calcPr calcId="191029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14" i="6" l="1" a="1"/>
  <c r="Q14" i="6" s="1"/>
  <c r="Q7" i="6" a="1"/>
  <c r="Q7" i="6" s="1"/>
  <c r="K15" i="5" a="1"/>
  <c r="K15" i="5" s="1"/>
  <c r="J15" i="5" a="1"/>
  <c r="J15" i="5" s="1"/>
  <c r="A2" i="5"/>
  <c r="A3" i="5" s="1"/>
  <c r="M2" i="5"/>
  <c r="B3" i="5" l="1"/>
  <c r="A4" i="5"/>
  <c r="B2" i="5"/>
  <c r="M3" i="5"/>
  <c r="N2" i="5"/>
  <c r="O2" i="5" s="1"/>
  <c r="B4" i="5" l="1"/>
  <c r="A5" i="5"/>
  <c r="M4" i="5"/>
  <c r="N3" i="5"/>
  <c r="O3" i="5" s="1"/>
  <c r="A6" i="5" l="1"/>
  <c r="B5" i="5"/>
  <c r="M5" i="5"/>
  <c r="N4" i="5"/>
  <c r="O4" i="5" s="1"/>
  <c r="A7" i="5" l="1"/>
  <c r="B6" i="5"/>
  <c r="M6" i="5"/>
  <c r="N5" i="5"/>
  <c r="O5" i="5" s="1"/>
  <c r="A8" i="5" l="1"/>
  <c r="B7" i="5"/>
  <c r="M7" i="5"/>
  <c r="N6" i="5"/>
  <c r="O6" i="5" s="1"/>
  <c r="A9" i="5" l="1"/>
  <c r="B8" i="5"/>
  <c r="M8" i="5"/>
  <c r="N7" i="5"/>
  <c r="O7" i="5" s="1"/>
  <c r="A10" i="5" l="1"/>
  <c r="B9" i="5"/>
  <c r="M9" i="5"/>
  <c r="N8" i="5"/>
  <c r="O8" i="5" s="1"/>
  <c r="A11" i="5" l="1"/>
  <c r="B10" i="5"/>
  <c r="M10" i="5"/>
  <c r="N9" i="5"/>
  <c r="O9" i="5" s="1"/>
  <c r="A12" i="5" l="1"/>
  <c r="B11" i="5"/>
  <c r="M11" i="5"/>
  <c r="N10" i="5"/>
  <c r="O10" i="5" s="1"/>
  <c r="A13" i="5" l="1"/>
  <c r="B12" i="5"/>
  <c r="M12" i="5"/>
  <c r="N11" i="5"/>
  <c r="O11" i="5" s="1"/>
  <c r="A14" i="5" l="1"/>
  <c r="B13" i="5"/>
  <c r="M13" i="5"/>
  <c r="N12" i="5"/>
  <c r="O12" i="5" s="1"/>
  <c r="A15" i="5" l="1"/>
  <c r="B14" i="5"/>
  <c r="M14" i="5"/>
  <c r="N13" i="5"/>
  <c r="O13" i="5" s="1"/>
  <c r="A16" i="5" l="1"/>
  <c r="B15" i="5"/>
  <c r="M15" i="5"/>
  <c r="N14" i="5"/>
  <c r="O14" i="5" s="1"/>
  <c r="A17" i="5" l="1"/>
  <c r="B16" i="5"/>
  <c r="M16" i="5"/>
  <c r="N15" i="5"/>
  <c r="O15" i="5" s="1"/>
  <c r="A18" i="5" l="1"/>
  <c r="B17" i="5"/>
  <c r="M17" i="5"/>
  <c r="N16" i="5"/>
  <c r="O16" i="5" s="1"/>
  <c r="A19" i="5" l="1"/>
  <c r="B18" i="5"/>
  <c r="M18" i="5"/>
  <c r="N17" i="5"/>
  <c r="O17" i="5" s="1"/>
  <c r="A20" i="5" l="1"/>
  <c r="B19" i="5"/>
  <c r="M19" i="5"/>
  <c r="N18" i="5"/>
  <c r="O18" i="5" s="1"/>
  <c r="A21" i="5" l="1"/>
  <c r="B20" i="5"/>
  <c r="M20" i="5"/>
  <c r="N19" i="5"/>
  <c r="O19" i="5" s="1"/>
  <c r="A22" i="5" l="1"/>
  <c r="B21" i="5"/>
  <c r="M21" i="5"/>
  <c r="N20" i="5"/>
  <c r="O20" i="5" s="1"/>
  <c r="A23" i="5" l="1"/>
  <c r="B22" i="5"/>
  <c r="M22" i="5"/>
  <c r="N21" i="5"/>
  <c r="O21" i="5" s="1"/>
  <c r="A24" i="5" l="1"/>
  <c r="B23" i="5"/>
  <c r="M23" i="5"/>
  <c r="N22" i="5"/>
  <c r="O22" i="5" s="1"/>
  <c r="A25" i="5" l="1"/>
  <c r="B24" i="5"/>
  <c r="M24" i="5"/>
  <c r="N23" i="5"/>
  <c r="O23" i="5" s="1"/>
  <c r="A26" i="5" l="1"/>
  <c r="B25" i="5"/>
  <c r="M25" i="5"/>
  <c r="N24" i="5"/>
  <c r="O24" i="5" s="1"/>
  <c r="A27" i="5" l="1"/>
  <c r="B26" i="5"/>
  <c r="M26" i="5"/>
  <c r="N25" i="5"/>
  <c r="O25" i="5" s="1"/>
  <c r="A28" i="5" l="1"/>
  <c r="B27" i="5"/>
  <c r="M27" i="5"/>
  <c r="N26" i="5"/>
  <c r="O26" i="5" s="1"/>
  <c r="A29" i="5" l="1"/>
  <c r="B28" i="5"/>
  <c r="M28" i="5"/>
  <c r="N27" i="5"/>
  <c r="O27" i="5" s="1"/>
  <c r="A30" i="5" l="1"/>
  <c r="B29" i="5"/>
  <c r="M29" i="5"/>
  <c r="N28" i="5"/>
  <c r="O28" i="5" s="1"/>
  <c r="A31" i="5" l="1"/>
  <c r="A32" i="5" s="1"/>
  <c r="B32" i="5" s="1"/>
  <c r="B30" i="5"/>
  <c r="M30" i="5"/>
  <c r="N29" i="5"/>
  <c r="O29" i="5" s="1"/>
  <c r="B31" i="5" l="1"/>
  <c r="M31" i="5"/>
  <c r="N30" i="5"/>
  <c r="O30" i="5" s="1"/>
  <c r="M32" i="5" l="1"/>
  <c r="N31" i="5"/>
  <c r="O31" i="5" s="1"/>
  <c r="N32" i="5" l="1"/>
  <c r="O3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<sst xmlns="http://schemas.openxmlformats.org/spreadsheetml/2006/main" count="194" uniqueCount="137">
  <si>
    <t>日期</t>
  </si>
  <si>
    <t>星期</t>
  </si>
  <si>
    <t>帳號</t>
  </si>
  <si>
    <t>日班</t>
  </si>
  <si>
    <t>密碼</t>
  </si>
  <si>
    <t>值日</t>
  </si>
  <si>
    <t>姓名</t>
  </si>
  <si>
    <t>輪休</t>
  </si>
  <si>
    <t>局補</t>
  </si>
  <si>
    <t>請休</t>
  </si>
  <si>
    <t>小時假</t>
  </si>
  <si>
    <t>休息</t>
  </si>
  <si>
    <t>日假</t>
  </si>
  <si>
    <t>月輪休</t>
  </si>
  <si>
    <t>婚假</t>
    <phoneticPr fontId="1" type="noConversion"/>
  </si>
  <si>
    <t>日假</t>
    <phoneticPr fontId="1" type="noConversion"/>
  </si>
  <si>
    <t>班別</t>
    <phoneticPr fontId="1" type="noConversion"/>
  </si>
  <si>
    <t>1.輸入基本資料</t>
    <phoneticPr fontId="1" type="noConversion"/>
  </si>
  <si>
    <t>當年</t>
    <phoneticPr fontId="1" type="noConversion"/>
  </si>
  <si>
    <t>當月</t>
    <phoneticPr fontId="1" type="noConversion"/>
  </si>
  <si>
    <t>v1：</t>
  </si>
  <si>
    <t>------------------------------------------</t>
  </si>
  <si>
    <t>v1.38：</t>
  </si>
  <si>
    <t>v3.14：</t>
  </si>
  <si>
    <t>v3.141：</t>
  </si>
  <si>
    <t>v3.1415：</t>
  </si>
  <si>
    <t>新增空白假別可跳過，直到本月最後一日</t>
  </si>
  <si>
    <t>v3.14159：</t>
  </si>
  <si>
    <t>v4..</t>
    <phoneticPr fontId="1" type="noConversion"/>
  </si>
  <si>
    <t>自己實驗，無明顯優化，無發布</t>
    <phoneticPr fontId="1" type="noConversion"/>
  </si>
  <si>
    <t>組別</t>
    <phoneticPr fontId="1" type="noConversion"/>
  </si>
  <si>
    <t>初始假別</t>
    <phoneticPr fontId="1" type="noConversion"/>
  </si>
  <si>
    <t>自訂假別</t>
    <phoneticPr fontId="1" type="noConversion"/>
  </si>
  <si>
    <t>輸入資料</t>
    <phoneticPr fontId="1" type="noConversion"/>
  </si>
  <si>
    <t>可填假別</t>
    <phoneticPr fontId="1" type="noConversion"/>
  </si>
  <si>
    <t>安檢1</t>
    <phoneticPr fontId="1" type="noConversion"/>
  </si>
  <si>
    <t>安檢2</t>
    <phoneticPr fontId="1" type="noConversion"/>
  </si>
  <si>
    <t>安檢3</t>
    <phoneticPr fontId="1" type="noConversion"/>
  </si>
  <si>
    <t>安檢4</t>
    <phoneticPr fontId="1" type="noConversion"/>
  </si>
  <si>
    <t>外勤A</t>
    <phoneticPr fontId="1" type="noConversion"/>
  </si>
  <si>
    <t>外勤B</t>
    <phoneticPr fontId="1" type="noConversion"/>
  </si>
  <si>
    <t xml:space="preserve">  外勤B外勤A安檢1      安檢2      安檢3      安檢4</t>
    <phoneticPr fontId="1" type="noConversion"/>
  </si>
  <si>
    <t>H2</t>
    <phoneticPr fontId="1" type="noConversion"/>
  </si>
  <si>
    <t>H3</t>
    <phoneticPr fontId="1" type="noConversion"/>
  </si>
  <si>
    <t>H4</t>
    <phoneticPr fontId="1" type="noConversion"/>
  </si>
  <si>
    <t>H5</t>
    <phoneticPr fontId="1" type="noConversion"/>
  </si>
  <si>
    <t>H6</t>
    <phoneticPr fontId="1" type="noConversion"/>
  </si>
  <si>
    <t>H7</t>
    <phoneticPr fontId="1" type="noConversion"/>
  </si>
  <si>
    <t>C2</t>
    <phoneticPr fontId="1" type="noConversion"/>
  </si>
  <si>
    <t>C32</t>
    <phoneticPr fontId="1" type="noConversion"/>
  </si>
  <si>
    <t>休起</t>
    <phoneticPr fontId="1" type="noConversion"/>
  </si>
  <si>
    <t>休迄</t>
    <phoneticPr fontId="1" type="noConversion"/>
  </si>
  <si>
    <t>D2</t>
    <phoneticPr fontId="1" type="noConversion"/>
  </si>
  <si>
    <t>D32</t>
    <phoneticPr fontId="1" type="noConversion"/>
  </si>
  <si>
    <t>E2</t>
    <phoneticPr fontId="1" type="noConversion"/>
  </si>
  <si>
    <t>E32</t>
    <phoneticPr fontId="1" type="noConversion"/>
  </si>
  <si>
    <t>假別1</t>
    <phoneticPr fontId="1" type="noConversion"/>
  </si>
  <si>
    <t>假別2</t>
    <phoneticPr fontId="1" type="noConversion"/>
  </si>
  <si>
    <t>B2</t>
    <phoneticPr fontId="1" type="noConversion"/>
  </si>
  <si>
    <t>B37</t>
    <phoneticPr fontId="1" type="noConversion"/>
  </si>
  <si>
    <t>H37</t>
    <phoneticPr fontId="1" type="noConversion"/>
  </si>
  <si>
    <t>內容1</t>
    <phoneticPr fontId="1" type="noConversion"/>
  </si>
  <si>
    <t>F37</t>
    <phoneticPr fontId="1" type="noConversion"/>
  </si>
  <si>
    <t>內容2</t>
    <phoneticPr fontId="1" type="noConversion"/>
  </si>
  <si>
    <t>I2</t>
    <phoneticPr fontId="1" type="noConversion"/>
  </si>
  <si>
    <t>L37</t>
    <phoneticPr fontId="1" type="noConversion"/>
  </si>
  <si>
    <t>…</t>
    <phoneticPr fontId="1" type="noConversion"/>
  </si>
  <si>
    <t>….</t>
    <phoneticPr fontId="1" type="noConversion"/>
  </si>
  <si>
    <t>…..</t>
    <phoneticPr fontId="1" type="noConversion"/>
  </si>
  <si>
    <t>生理假</t>
    <phoneticPr fontId="1" type="noConversion"/>
  </si>
  <si>
    <t>外宿</t>
    <phoneticPr fontId="1" type="noConversion"/>
  </si>
  <si>
    <t>小時假</t>
    <phoneticPr fontId="1" type="noConversion"/>
  </si>
  <si>
    <t>清起來</t>
    <phoneticPr fontId="1" type="noConversion"/>
  </si>
  <si>
    <t>生理假</t>
  </si>
  <si>
    <t>1.在有底色的格子定義名稱。</t>
    <phoneticPr fontId="1" type="noConversion"/>
  </si>
  <si>
    <t>2.依照勤務系統輸入的內容，在名稱右邊輸入內容。</t>
    <phoneticPr fontId="1" type="noConversion"/>
  </si>
  <si>
    <t>自訂假別說明：</t>
    <phoneticPr fontId="1" type="noConversion"/>
  </si>
  <si>
    <t>v3.141592：</t>
    <phoneticPr fontId="1" type="noConversion"/>
  </si>
  <si>
    <t>一點一滴累積讓這個功能更完整變得更好。</t>
    <phoneticPr fontId="1" type="noConversion"/>
  </si>
  <si>
    <t>可於Excel輸入介面definition_page輸入自訂假別</t>
  </si>
  <si>
    <t>假別輸入速度統一</t>
  </si>
  <si>
    <t>程式碼通用化，瘦身成功</t>
  </si>
  <si>
    <t>跳轉至基準表新增Expected Conditions wait(EC wait)，解決逾時無法正確定位的問題。</t>
    <phoneticPr fontId="1" type="noConversion"/>
  </si>
  <si>
    <t>新增檢查.xlsm檔案的選項</t>
    <phoneticPr fontId="1" type="noConversion"/>
  </si>
  <si>
    <t>新增跳過遇時數上限會點選警告並跳過</t>
    <phoneticPr fontId="1" type="noConversion"/>
  </si>
  <si>
    <t>Excel排版更新，可一頁看到要輸入的地方。</t>
  </si>
  <si>
    <t>Excel新增巨集可選擇分組再輸入。</t>
  </si>
  <si>
    <t>會掃瞄並刪除重複登打的時數。</t>
  </si>
  <si>
    <t>整合刪除功能，可於主程式切換成全部刪除模式。</t>
    <phoneticPr fontId="1" type="noConversion"/>
  </si>
  <si>
    <t>這也算是種發明吧(笑)，假別有：值日、日班、月輪休、補休、請休、輪休。</t>
    <phoneticPr fontId="1" type="noConversion"/>
  </si>
  <si>
    <t>修正跨日時數無法輸入錯誤。</t>
    <phoneticPr fontId="1" type="noConversion"/>
  </si>
  <si>
    <t>發現部分假別輸入較快。</t>
    <phoneticPr fontId="1" type="noConversion"/>
  </si>
  <si>
    <t>Excel月輪休重新命名為局補，比較符合大家的習慣。</t>
    <phoneticPr fontId="1" type="noConversion"/>
  </si>
  <si>
    <t>新增dos小黑窗內容提示</t>
    <phoneticPr fontId="1" type="noConversion"/>
  </si>
  <si>
    <t>2.選好組別，過去!</t>
    <phoneticPr fontId="1" type="noConversion"/>
  </si>
  <si>
    <t>感謝在編輯路上持續協助的人們，</t>
    <phoneticPr fontId="1" type="noConversion"/>
  </si>
  <si>
    <t>回報錯誤、給予反饋、給予想法，</t>
    <phoneticPr fontId="1" type="noConversion"/>
  </si>
  <si>
    <t>簡單的事重複做，你就是專家；重複的事情認真做，會變成贏家。</t>
    <phoneticPr fontId="1" type="noConversion"/>
  </si>
  <si>
    <t>但我覺得，</t>
    <phoneticPr fontId="1" type="noConversion"/>
  </si>
  <si>
    <t>重複的事情給電腦做，我才回得了家。</t>
    <phoneticPr fontId="1" type="noConversion"/>
  </si>
  <si>
    <t>Excel改名啦，檔案、分頁名稱更直觀，請問vvcd是什麼?</t>
    <phoneticPr fontId="1" type="noConversion"/>
  </si>
  <si>
    <t>程式函式化，明確定義主程式段，優化程式碼可讀性。</t>
    <phoneticPr fontId="1" type="noConversion"/>
  </si>
  <si>
    <t>幫程式加了一個圖示，希望用的人都覺得很讚。</t>
    <phoneticPr fontId="1" type="noConversion"/>
  </si>
  <si>
    <t>開發歷程也整理到Excel內了，歡迎大家來看編者的碎碎念。(真是赤裸)</t>
    <phoneticPr fontId="1" type="noConversion"/>
  </si>
  <si>
    <t>做完第五代後往前看，距離2023.12也一年多了(現在是2025.02)，</t>
    <phoneticPr fontId="1" type="noConversion"/>
  </si>
  <si>
    <t>隨著功能優化，程式體積也膨脹了1倍多，</t>
    <phoneticPr fontId="1" type="noConversion"/>
  </si>
  <si>
    <t>這也算是一種良性通膨吧。</t>
    <phoneticPr fontId="1" type="noConversion"/>
  </si>
  <si>
    <t>v5.1</t>
    <phoneticPr fontId="1" type="noConversion"/>
  </si>
  <si>
    <t>v5</t>
    <phoneticPr fontId="1" type="noConversion"/>
  </si>
  <si>
    <t>打基準表.exe</t>
    <phoneticPr fontId="1" type="noConversion"/>
  </si>
  <si>
    <t>4.基準表Go!</t>
    <phoneticPr fontId="1" type="noConversion"/>
  </si>
  <si>
    <t>詳細說明</t>
    <phoneticPr fontId="1" type="noConversion"/>
  </si>
  <si>
    <t>做的時候有種指揮中心出題，我解題的感覺，</t>
    <phoneticPr fontId="1" type="noConversion"/>
  </si>
  <si>
    <t>AI是神燈精靈，而且可以不只滿足我3個對程式的要求。</t>
    <phoneticPr fontId="1" type="noConversion"/>
  </si>
  <si>
    <t>安檢3</t>
  </si>
  <si>
    <t>1.輸入Excel內黃底部份，包含帳號、密碼、姓名、年、月。
2.按【&lt;&lt;過去!!&lt;&lt;】。
3.輸入勤休班別，若有勤務表排定的休息時段，另外再輸入時段起迄。
4.按【基準表Go!】。
註：若初始假別不敷使用可使用自訂假別欄位，例如：婚喪假、訓練等。</t>
    <phoneticPr fontId="1" type="noConversion"/>
  </si>
  <si>
    <t>模式</t>
    <phoneticPr fontId="1" type="noConversion"/>
  </si>
  <si>
    <t>登打</t>
    <phoneticPr fontId="1" type="noConversion"/>
  </si>
  <si>
    <t>A</t>
    <phoneticPr fontId="1" type="noConversion"/>
  </si>
  <si>
    <t>3.補上休假、訓練</t>
    <phoneticPr fontId="1" type="noConversion"/>
  </si>
  <si>
    <t>3.如果該勤務不是固定時段，輸入【A】【B】可帶入日曆頁的時段起迄。</t>
    <phoneticPr fontId="1" type="noConversion"/>
  </si>
  <si>
    <t>新增值日第二時段，指揮中心規定可能一天要排2+彈性休息。</t>
    <phoneticPr fontId="1" type="noConversion"/>
  </si>
  <si>
    <t>時段A起</t>
    <phoneticPr fontId="1" type="noConversion"/>
  </si>
  <si>
    <t>時段A迄</t>
    <phoneticPr fontId="1" type="noConversion"/>
  </si>
  <si>
    <t>時段B起</t>
    <phoneticPr fontId="1" type="noConversion"/>
  </si>
  <si>
    <t>時段B迄</t>
    <phoneticPr fontId="1" type="noConversion"/>
  </si>
  <si>
    <t>三仙就歸洞啦</t>
    <phoneticPr fontId="1" type="noConversion"/>
  </si>
  <si>
    <t>可以從Excel內按鈕執行，因涉及檔名問題，以後在此更新版本號碼了。</t>
    <phoneticPr fontId="1" type="noConversion"/>
  </si>
  <si>
    <t>聯絡：zhandehzong861131@gmail.com</t>
    <phoneticPr fontId="1" type="noConversion"/>
  </si>
  <si>
    <t>4.目前【時段B】隱藏在F、G欄，取消隱藏即可使用。</t>
    <phoneticPr fontId="1" type="noConversion"/>
  </si>
  <si>
    <t>登打</t>
  </si>
  <si>
    <t>安檢在勤</t>
    <phoneticPr fontId="1" type="noConversion"/>
  </si>
  <si>
    <t>安檢補休</t>
    <phoneticPr fontId="1" type="noConversion"/>
  </si>
  <si>
    <t>補休</t>
    <phoneticPr fontId="1" type="noConversion"/>
  </si>
  <si>
    <t>其他</t>
  </si>
  <si>
    <t>.</t>
    <phoneticPr fontId="1" type="noConversion"/>
  </si>
  <si>
    <t>..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</si>
</sst>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d"/>
    <numFmt numFmtId="177" formatCode="[$-404]aaa;@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4"/>
      <color rgb="FF000000"/>
      <name val="Microsoft JhengHei Light"/>
      <family val="2"/>
      <charset val="136"/>
    </font>
    <font>
      <sz val="2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u/>
      <sz val="11"/>
      <color theme="10"/>
      <name val="新細明體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B49E3"/>
        <bgColor indexed="64"/>
      </patternFill>
    </fill>
    <fill>
      <patternFill patternType="solid">
        <fgColor rgb="FFFBFF61"/>
        <bgColor indexed="64"/>
      </patternFill>
    </fill>
    <fill>
      <patternFill patternType="solid">
        <fgColor rgb="FFC2C2FA"/>
        <bgColor indexed="64"/>
      </patternFill>
    </fill>
    <fill>
      <patternFill patternType="solid">
        <fgColor rgb="FFAFF397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/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3">
    <xf numFmtId="0" fontId="0" fillId="0" borderId="0" xfId="0"/>
    <xf numFmtId="0" fontId="2" fillId="0" borderId="2" xfId="0" applyFont="1" applyBorder="1"/>
    <xf numFmtId="0" fontId="2" fillId="2" borderId="2" xfId="0" applyFont="1" applyFill="1" applyBorder="1"/>
    <xf numFmtId="0" fontId="2" fillId="2" borderId="4" xfId="0" applyFont="1" applyFill="1" applyBorder="1"/>
    <xf numFmtId="0" fontId="2" fillId="0" borderId="3" xfId="0" applyFont="1" applyBorder="1"/>
    <xf numFmtId="176" fontId="2" fillId="0" borderId="2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3" borderId="0" xfId="0" applyFont="1" applyFill="1"/>
    <xf numFmtId="0" fontId="2" fillId="2" borderId="2" xfId="0" applyFont="1" applyFill="1" applyBorder="1" applyAlignment="1"/>
    <xf numFmtId="0" fontId="2" fillId="0" borderId="0" xfId="0" applyFont="1" applyAlignment="1"/>
    <xf numFmtId="0" fontId="2" fillId="0" borderId="0" xfId="0" applyFont="1"/>
    <xf numFmtId="0" fontId="2" fillId="0" borderId="1" xfId="0" applyFont="1" applyFill="1" applyBorder="1"/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2" fillId="0" borderId="0" xfId="0" applyFont="1" applyFill="1"/>
    <xf numFmtId="0" fontId="4" fillId="0" borderId="0" xfId="0" applyFont="1" applyFill="1" applyAlignment="1">
      <alignment horizontal="center"/>
    </xf>
    <xf numFmtId="0" fontId="2" fillId="0" borderId="2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Border="1"/>
    <xf numFmtId="176" fontId="2" fillId="0" borderId="0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0" fontId="2" fillId="5" borderId="1" xfId="0" applyFont="1" applyFill="1" applyBorder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 applyFill="1" applyAlignment="1">
      <alignment horizontal="center"/>
    </xf>
    <xf numFmtId="0" fontId="2" fillId="11" borderId="2" xfId="0" applyFont="1" applyFill="1" applyBorder="1"/>
    <xf numFmtId="0" fontId="2" fillId="13" borderId="2" xfId="0" applyFont="1" applyFill="1" applyBorder="1"/>
    <xf numFmtId="0" fontId="2" fillId="14" borderId="1" xfId="0" applyFont="1" applyFill="1" applyBorder="1"/>
    <xf numFmtId="0" fontId="10" fillId="3" borderId="0" xfId="0" applyFont="1" applyFill="1" applyAlignment="1">
      <alignment horizontal="center" vertical="center" wrapText="1"/>
    </xf>
    <xf numFmtId="0" fontId="2" fillId="0" borderId="0" xfId="0" applyFont="1"/>
    <xf numFmtId="0" fontId="2" fillId="16" borderId="0" xfId="0" applyFont="1" applyFill="1"/>
    <xf numFmtId="0" fontId="2" fillId="17" borderId="1" xfId="0" applyFont="1" applyFill="1" applyBorder="1"/>
    <xf numFmtId="0" fontId="8" fillId="4" borderId="16" xfId="0" applyFont="1" applyFill="1" applyBorder="1" applyAlignment="1"/>
    <xf numFmtId="0" fontId="8" fillId="4" borderId="11" xfId="0" applyFont="1" applyFill="1" applyBorder="1" applyAlignment="1"/>
    <xf numFmtId="0" fontId="8" fillId="4" borderId="12" xfId="0" applyFont="1" applyFill="1" applyBorder="1" applyAlignment="1"/>
    <xf numFmtId="0" fontId="8" fillId="4" borderId="17" xfId="0" applyFont="1" applyFill="1" applyBorder="1" applyAlignment="1"/>
    <xf numFmtId="0" fontId="8" fillId="4" borderId="14" xfId="0" applyFont="1" applyFill="1" applyBorder="1" applyAlignment="1"/>
    <xf numFmtId="0" fontId="8" fillId="4" borderId="15" xfId="0" applyFont="1" applyFill="1" applyBorder="1" applyAlignment="1"/>
    <xf numFmtId="0" fontId="2" fillId="18" borderId="19" xfId="0" applyFont="1" applyFill="1" applyBorder="1"/>
    <xf numFmtId="0" fontId="2" fillId="18" borderId="20" xfId="0" applyFont="1" applyFill="1" applyBorder="1"/>
    <xf numFmtId="0" fontId="2" fillId="19" borderId="1" xfId="0" applyFont="1" applyFill="1" applyBorder="1"/>
    <xf numFmtId="0" fontId="2" fillId="20" borderId="1" xfId="0" applyFont="1" applyFill="1" applyBorder="1"/>
    <xf numFmtId="0" fontId="2" fillId="12" borderId="2" xfId="0" applyFont="1" applyFill="1" applyBorder="1"/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center"/>
    </xf>
    <xf numFmtId="0" fontId="2" fillId="0" borderId="0" xfId="0" applyFont="1"/>
    <xf numFmtId="0" fontId="2" fillId="0" borderId="0" xfId="0" applyFont="1"/>
    <xf numFmtId="0" fontId="2" fillId="0" borderId="0" xfId="0" applyFont="1"/>
    <xf numFmtId="0" fontId="6" fillId="18" borderId="18" xfId="0" applyFont="1" applyFill="1" applyBorder="1"/>
    <xf numFmtId="0" fontId="5" fillId="0" borderId="1" xfId="0" applyFont="1" applyBorder="1" applyAlignment="1">
      <alignment horizontal="center" vertical="center" wrapText="1"/>
    </xf>
    <xf numFmtId="176" fontId="5" fillId="0" borderId="1" xfId="0" applyNumberFormat="1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4" borderId="10" xfId="0" applyFont="1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8" fillId="4" borderId="13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6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15" borderId="7" xfId="0" applyFont="1" applyFill="1" applyBorder="1" applyAlignment="1">
      <alignment horizontal="left"/>
    </xf>
    <xf numFmtId="0" fontId="2" fillId="15" borderId="8" xfId="0" applyFont="1" applyFill="1" applyBorder="1" applyAlignment="1">
      <alignment horizontal="left"/>
    </xf>
    <xf numFmtId="0" fontId="2" fillId="15" borderId="9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left"/>
    </xf>
    <xf numFmtId="0" fontId="2" fillId="15" borderId="6" xfId="0" applyFont="1" applyFill="1" applyBorder="1" applyAlignment="1">
      <alignment horizontal="left"/>
    </xf>
    <xf numFmtId="0" fontId="11" fillId="15" borderId="9" xfId="1" applyFill="1" applyBorder="1" applyAlignment="1">
      <alignment horizontal="left"/>
    </xf>
    <xf numFmtId="0" fontId="2" fillId="15" borderId="9" xfId="0" applyFont="1" applyFill="1" applyBorder="1" applyAlignment="1">
      <alignment horizontal="left"/>
    </xf>
    <xf numFmtId="0" fontId="9" fillId="0" borderId="0" xfId="0" applyFont="1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19"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00FF"/>
        </patternFill>
      </fill>
    </dxf>
    <dxf>
      <fill>
        <patternFill>
          <bgColor theme="9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AFF397"/>
      <color rgb="FF83ED5D"/>
      <color rgb="FFC2C2FA"/>
      <color rgb="FFB198F0"/>
      <color rgb="FF6666FF"/>
      <color rgb="FFFCA752"/>
      <color rgb="FFFBFF61"/>
      <color rgb="FFFF00FF"/>
      <color rgb="FFEB49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8</xdr:row>
      <xdr:rowOff>104775</xdr:rowOff>
    </xdr:from>
    <xdr:to>
      <xdr:col>10</xdr:col>
      <xdr:colOff>952500</xdr:colOff>
      <xdr:row>11</xdr:row>
      <xdr:rowOff>85725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581525" y="1895475"/>
          <a:ext cx="1905000" cy="581025"/>
          <a:chOff x="4343400" y="1800225"/>
          <a:chExt cx="1905000" cy="58102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54864" rIns="64008" bIns="5486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&lt;&lt;過去!!&lt;&lt;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190500</xdr:colOff>
      <xdr:row>23</xdr:row>
      <xdr:rowOff>133350</xdr:rowOff>
    </xdr:from>
    <xdr:to>
      <xdr:col>10</xdr:col>
      <xdr:colOff>876300</xdr:colOff>
      <xdr:row>26</xdr:row>
      <xdr:rowOff>114300</xdr:rowOff>
    </xdr:to>
    <xdr:grpSp>
      <xdr:nvGrpSpPr>
        <xdr:cNvPr id="6" name="群組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505325" y="4924425"/>
          <a:ext cx="1905000" cy="581025"/>
          <a:chOff x="4343400" y="1800225"/>
          <a:chExt cx="1905000" cy="581025"/>
        </a:xfrm>
      </xdr:grpSpPr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54864" rIns="64008" bIns="5486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基準表Go!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238125</xdr:colOff>
      <xdr:row>8</xdr:row>
      <xdr:rowOff>0</xdr:rowOff>
    </xdr:from>
    <xdr:to>
      <xdr:col>14</xdr:col>
      <xdr:colOff>4115341</xdr:colOff>
      <xdr:row>16</xdr:row>
      <xdr:rowOff>171697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5100" y="1866900"/>
          <a:ext cx="3877216" cy="17718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6AB0-EAE0-4BDC-8B5D-2875D0DEDA81}">
  <sheetPr codeName="工作表4">
    <tabColor theme="9" tint="0.59999389629810485"/>
  </sheetPr>
  <dimension ref="A1:S36"/>
  <sheetViews>
    <sheetView tabSelected="1" zoomScaleNormal="100" workbookViewId="0">
      <pane ySplit="1" topLeftCell="A2" activePane="bottomLeft" state="frozen"/>
      <selection pane="bottomLeft" activeCell="J15" sqref="J15:K21"/>
    </sheetView>
  </sheetViews>
  <sheetFormatPr defaultRowHeight="15.75" customHeight="1" x14ac:dyDescent="0.4"/>
  <cols>
    <col min="1" max="1" width="11.85546875" style="19" customWidth="1"/>
    <col min="2" max="2" width="11.85546875" style="7" customWidth="1"/>
    <col min="3" max="3" width="11.85546875" style="16" customWidth="1"/>
    <col min="4" max="5" width="5.85546875" style="11" customWidth="1"/>
    <col min="6" max="7" width="5.85546875" style="54" hidden="1" customWidth="1"/>
    <col min="8" max="8" width="8.28515625" style="11" customWidth="1"/>
    <col min="9" max="9" width="9.140625" style="11" customWidth="1"/>
    <col min="10" max="11" width="18.28515625" style="11" customWidth="1"/>
    <col min="12" max="12" width="9.140625" style="11" customWidth="1"/>
    <col min="13" max="13" width="11.85546875" style="19" customWidth="1"/>
    <col min="14" max="14" width="11.85546875" style="7" customWidth="1"/>
    <col min="15" max="15" width="11.85546875" style="16" customWidth="1"/>
    <col min="16" max="17" width="9.140625" style="11"/>
    <col min="18" max="18" width="45.140625" style="11" customWidth="1"/>
    <col min="19" max="16384" width="9.140625" style="11"/>
  </cols>
  <sheetData>
    <row r="1" spans="1:19" s="62" customFormat="1" ht="30.75" x14ac:dyDescent="0.45">
      <c r="A1" s="59" t="s">
        <v>0</v>
      </c>
      <c r="B1" s="60" t="s">
        <v>1</v>
      </c>
      <c r="C1" s="61" t="s">
        <v>16</v>
      </c>
      <c r="D1" s="58" t="s">
        <v>122</v>
      </c>
      <c r="E1" s="58" t="s">
        <v>123</v>
      </c>
      <c r="F1" s="58" t="s">
        <v>124</v>
      </c>
      <c r="G1" s="58" t="s">
        <v>125</v>
      </c>
      <c r="J1" s="74" t="s">
        <v>33</v>
      </c>
      <c r="K1" s="74"/>
      <c r="M1" s="59" t="s">
        <v>0</v>
      </c>
      <c r="N1" s="60" t="s">
        <v>1</v>
      </c>
      <c r="O1" s="61" t="s">
        <v>16</v>
      </c>
      <c r="R1" s="63" t="s">
        <v>111</v>
      </c>
    </row>
    <row r="2" spans="1:19" ht="15.75" customHeight="1" x14ac:dyDescent="0.4">
      <c r="A2" s="5">
        <f>DATE($J$5,$J$6,1)</f>
        <v>45962</v>
      </c>
      <c r="B2" s="6">
        <f>IF(A2=" "," ",WEEKDAY(A2))</f>
        <v>7</v>
      </c>
      <c r="C2" s="12" t="s">
        <v>134</v>
      </c>
      <c r="D2" s="1"/>
      <c r="E2" s="1"/>
      <c r="F2" s="1"/>
      <c r="G2" s="1"/>
      <c r="I2" s="11" t="s">
        <v>2</v>
      </c>
      <c r="J2" s="78"/>
      <c r="K2" s="79"/>
      <c r="M2" s="5">
        <f>DATE($J$5,$J$6,1)</f>
        <v>45962</v>
      </c>
      <c r="N2" s="6">
        <f>IF(M2=" "," ",WEEKDAY(M2))</f>
        <v>7</v>
      </c>
      <c r="O2" s="18" t="str">
        <f>IFERROR(IF(IFERROR(FIND("安檢",$J$7),0),IF(MOD(_xlfn.DAYS(M2+2,FIND($J$7,假別_設定區!$O$7)/9),4)&lt;1,"值日",IF(AND(N2&lt;7,N2&gt;1),"日班","輪休")),IF(MOD(_xlfn.DAYS(M2,FIND($J$7,假別_設定區!$O$7)/3),2)&lt;1,"值日","輪休")),"")</f>
        <v>輪休</v>
      </c>
      <c r="R2" s="64" t="s">
        <v>115</v>
      </c>
      <c r="S2" s="52"/>
    </row>
    <row r="3" spans="1:19" ht="15.75" customHeight="1" x14ac:dyDescent="0.45">
      <c r="A3" s="5">
        <f>IFERROR(IF(MONTH(A2+1)=$J$6,A2+1," "),"")</f>
        <v>45963</v>
      </c>
      <c r="B3" s="6">
        <f t="shared" ref="B3" si="0">IF(A3=" "," ",WEEKDAY(A3))</f>
        <v>1</v>
      </c>
      <c r="C3" s="12" t="s">
        <v>134</v>
      </c>
      <c r="D3" s="1"/>
      <c r="E3" s="1"/>
      <c r="F3" s="1"/>
      <c r="G3" s="1"/>
      <c r="I3" s="11" t="s">
        <v>4</v>
      </c>
      <c r="J3" s="80"/>
      <c r="K3" s="81"/>
      <c r="M3" s="5">
        <f t="shared" ref="M3:M32" si="1">IFERROR(IF(MONTH(M2+1)=$J$6,M2+1," ")," ")</f>
        <v>45963</v>
      </c>
      <c r="N3" s="6">
        <f t="shared" ref="N3:N32" si="2">IF(M3=" "," ",WEEKDAY(M3))</f>
        <v>1</v>
      </c>
      <c r="O3" s="18" t="str">
        <f>IFERROR(IF(IFERROR(FIND("安檢",$J$7),0),IF(MOD(_xlfn.DAYS(M3+2,FIND($J$7,假別_設定區!$O$7)/9),4)&lt;1,"值日",IF(AND(N3&lt;7,N3&gt;1),"日班","輪休")),IF(MOD(_xlfn.DAYS(M3,FIND($J$7,假別_設定區!$O$7)/3),2)&lt;1,"值日","輪休")),"")</f>
        <v>輪休</v>
      </c>
      <c r="R3" s="64"/>
      <c r="S3" s="52"/>
    </row>
    <row r="4" spans="1:19" ht="15.75" customHeight="1" x14ac:dyDescent="0.4">
      <c r="A4" s="5">
        <f t="shared" ref="A4:A32" si="3">IFERROR(IF(MONTH(A3+1)=$J$6,A3+1," ")," ")</f>
        <v>45964</v>
      </c>
      <c r="B4" s="6">
        <f t="shared" ref="B4:B31" si="4">IF(A4=" "," ",WEEKDAY(A4))</f>
        <v>2</v>
      </c>
      <c r="C4" s="12" t="s">
        <v>134</v>
      </c>
      <c r="D4" s="1"/>
      <c r="E4" s="1"/>
      <c r="F4" s="1"/>
      <c r="G4" s="1"/>
      <c r="I4" s="11" t="s">
        <v>6</v>
      </c>
      <c r="J4" s="75"/>
      <c r="K4" s="76"/>
      <c r="M4" s="5">
        <f t="shared" si="1"/>
        <v>45964</v>
      </c>
      <c r="N4" s="6">
        <f t="shared" si="2"/>
        <v>2</v>
      </c>
      <c r="O4" s="18" t="str">
        <f>IFERROR(IF(IFERROR(FIND("安檢",$J$7),0),IF(MOD(_xlfn.DAYS(M4+2,FIND($J$7,假別_設定區!$O$7)/9),4)&lt;1,"值日",IF(AND(N4&lt;7,N4&gt;1),"日班","輪休")),IF(MOD(_xlfn.DAYS(M4,FIND($J$7,假別_設定區!$O$7)/3),2)&lt;1,"值日","輪休")),"")</f>
        <v>日班</v>
      </c>
      <c r="R4" s="64"/>
      <c r="S4" s="52"/>
    </row>
    <row r="5" spans="1:19" ht="15.75" customHeight="1" x14ac:dyDescent="0.4">
      <c r="A5" s="5">
        <f t="shared" si="3"/>
        <v>45965</v>
      </c>
      <c r="B5" s="6">
        <f t="shared" si="4"/>
        <v>3</v>
      </c>
      <c r="C5" s="12" t="s">
        <v>134</v>
      </c>
      <c r="D5" s="1"/>
      <c r="E5" s="1"/>
      <c r="F5" s="1"/>
      <c r="G5" s="1"/>
      <c r="I5" s="22" t="s">
        <v>18</v>
      </c>
      <c r="J5" s="77">
        <v>2025</v>
      </c>
      <c r="K5" s="77"/>
      <c r="M5" s="5">
        <f t="shared" si="1"/>
        <v>45965</v>
      </c>
      <c r="N5" s="6">
        <f t="shared" si="2"/>
        <v>3</v>
      </c>
      <c r="O5" s="18" t="str">
        <f>IFERROR(IF(IFERROR(FIND("安檢",$J$7),0),IF(MOD(_xlfn.DAYS(M5+2,FIND($J$7,假別_設定區!$O$7)/9),4)&lt;1,"值日",IF(AND(N5&lt;7,N5&gt;1),"日班","輪休")),IF(MOD(_xlfn.DAYS(M5,FIND($J$7,假別_設定區!$O$7)/3),2)&lt;1,"值日","輪休")),"")</f>
        <v>值日</v>
      </c>
      <c r="R5" s="64"/>
      <c r="S5" s="52"/>
    </row>
    <row r="6" spans="1:19" ht="15.75" customHeight="1" x14ac:dyDescent="0.4">
      <c r="A6" s="5">
        <f t="shared" si="3"/>
        <v>45966</v>
      </c>
      <c r="B6" s="6">
        <f t="shared" si="4"/>
        <v>4</v>
      </c>
      <c r="C6" s="12" t="s">
        <v>134</v>
      </c>
      <c r="D6" s="1"/>
      <c r="E6" s="1"/>
      <c r="F6" s="1"/>
      <c r="G6" s="1"/>
      <c r="I6" s="22" t="s">
        <v>19</v>
      </c>
      <c r="J6" s="77">
        <v>11</v>
      </c>
      <c r="K6" s="77"/>
      <c r="M6" s="5">
        <f t="shared" si="1"/>
        <v>45966</v>
      </c>
      <c r="N6" s="6">
        <f t="shared" si="2"/>
        <v>4</v>
      </c>
      <c r="O6" s="18" t="str">
        <f>IFERROR(IF(IFERROR(FIND("安檢",$J$7),0),IF(MOD(_xlfn.DAYS(M6+2,FIND($J$7,假別_設定區!$O$7)/9),4)&lt;1,"值日",IF(AND(N6&lt;7,N6&gt;1),"日班","輪休")),IF(MOD(_xlfn.DAYS(M6,FIND($J$7,假別_設定區!$O$7)/3),2)&lt;1,"值日","輪休")),"")</f>
        <v>日班</v>
      </c>
      <c r="R6" s="64"/>
      <c r="S6" s="52"/>
    </row>
    <row r="7" spans="1:19" ht="15.75" customHeight="1" x14ac:dyDescent="0.4">
      <c r="A7" s="5">
        <f t="shared" si="3"/>
        <v>45967</v>
      </c>
      <c r="B7" s="6">
        <f t="shared" si="4"/>
        <v>5</v>
      </c>
      <c r="C7" s="12" t="s">
        <v>134</v>
      </c>
      <c r="D7" s="1"/>
      <c r="E7" s="1"/>
      <c r="F7" s="1"/>
      <c r="G7" s="1"/>
      <c r="I7" s="11" t="s">
        <v>30</v>
      </c>
      <c r="J7" s="77" t="s">
        <v>114</v>
      </c>
      <c r="K7" s="77"/>
      <c r="M7" s="5">
        <f t="shared" si="1"/>
        <v>45967</v>
      </c>
      <c r="N7" s="6">
        <f t="shared" si="2"/>
        <v>5</v>
      </c>
      <c r="O7" s="18" t="str">
        <f>IFERROR(IF(IFERROR(FIND("安檢",$J$7),0),IF(MOD(_xlfn.DAYS(M7+2,FIND($J$7,假別_設定區!$O$7)/9),4)&lt;1,"值日",IF(AND(N7&lt;7,N7&gt;1),"日班","輪休")),IF(MOD(_xlfn.DAYS(M7,FIND($J$7,假別_設定區!$O$7)/3),2)&lt;1,"值日","輪休")),"")</f>
        <v>日班</v>
      </c>
      <c r="R7" s="64"/>
      <c r="S7" s="52"/>
    </row>
    <row r="8" spans="1:19" ht="15.75" customHeight="1" x14ac:dyDescent="0.4">
      <c r="A8" s="5">
        <f t="shared" si="3"/>
        <v>45968</v>
      </c>
      <c r="B8" s="6">
        <f t="shared" si="4"/>
        <v>6</v>
      </c>
      <c r="C8" s="12" t="s">
        <v>134</v>
      </c>
      <c r="D8" s="1"/>
      <c r="E8" s="1"/>
      <c r="F8" s="1"/>
      <c r="G8" s="1"/>
      <c r="I8" s="11" t="s">
        <v>116</v>
      </c>
      <c r="J8" s="77" t="s">
        <v>130</v>
      </c>
      <c r="K8" s="77"/>
      <c r="M8" s="5">
        <f t="shared" si="1"/>
        <v>45968</v>
      </c>
      <c r="N8" s="6">
        <f t="shared" si="2"/>
        <v>6</v>
      </c>
      <c r="O8" s="18" t="str">
        <f>IFERROR(IF(IFERROR(FIND("安檢",$J$7),0),IF(MOD(_xlfn.DAYS(M8+2,FIND($J$7,假別_設定區!$O$7)/9),4)&lt;1,"值日",IF(AND(N8&lt;7,N8&gt;1),"日班","輪休")),IF(MOD(_xlfn.DAYS(M8,FIND($J$7,假別_設定區!$O$7)/3),2)&lt;1,"值日","輪休")),"")</f>
        <v>日班</v>
      </c>
      <c r="R8" s="64"/>
      <c r="S8" s="52"/>
    </row>
    <row r="9" spans="1:19" ht="15.75" customHeight="1" x14ac:dyDescent="0.4">
      <c r="A9" s="5">
        <f t="shared" si="3"/>
        <v>45969</v>
      </c>
      <c r="B9" s="6">
        <f t="shared" si="4"/>
        <v>7</v>
      </c>
      <c r="C9" s="12" t="s">
        <v>134</v>
      </c>
      <c r="D9" s="1"/>
      <c r="E9" s="1"/>
      <c r="F9" s="1"/>
      <c r="G9" s="1"/>
      <c r="J9" s="72"/>
      <c r="K9" s="72"/>
      <c r="M9" s="5">
        <f t="shared" si="1"/>
        <v>45969</v>
      </c>
      <c r="N9" s="6">
        <f t="shared" si="2"/>
        <v>7</v>
      </c>
      <c r="O9" s="18" t="str">
        <f>IFERROR(IF(IFERROR(FIND("安檢",$J$7),0),IF(MOD(_xlfn.DAYS(M9+2,FIND($J$7,假別_設定區!$O$7)/9),4)&lt;1,"值日",IF(AND(N9&lt;7,N9&gt;1),"日班","輪休")),IF(MOD(_xlfn.DAYS(M9,FIND($J$7,假別_設定區!$O$7)/3),2)&lt;1,"值日","輪休")),"")</f>
        <v>值日</v>
      </c>
      <c r="R9" s="64"/>
      <c r="S9" s="52"/>
    </row>
    <row r="10" spans="1:19" ht="15.75" customHeight="1" x14ac:dyDescent="0.4">
      <c r="A10" s="5">
        <f t="shared" si="3"/>
        <v>45970</v>
      </c>
      <c r="B10" s="6">
        <f t="shared" si="4"/>
        <v>1</v>
      </c>
      <c r="C10" s="12" t="s">
        <v>134</v>
      </c>
      <c r="D10" s="1"/>
      <c r="E10" s="1"/>
      <c r="F10" s="1"/>
      <c r="G10" s="1"/>
      <c r="J10" s="72"/>
      <c r="K10" s="72"/>
      <c r="M10" s="5">
        <f t="shared" si="1"/>
        <v>45970</v>
      </c>
      <c r="N10" s="6">
        <f t="shared" si="2"/>
        <v>1</v>
      </c>
      <c r="O10" s="18" t="str">
        <f>IFERROR(IF(IFERROR(FIND("安檢",$J$7),0),IF(MOD(_xlfn.DAYS(M10+2,FIND($J$7,假別_設定區!$O$7)/9),4)&lt;1,"值日",IF(AND(N10&lt;7,N10&gt;1),"日班","輪休")),IF(MOD(_xlfn.DAYS(M10,FIND($J$7,假別_設定區!$O$7)/3),2)&lt;1,"值日","輪休")),"")</f>
        <v>輪休</v>
      </c>
      <c r="R10" s="64"/>
      <c r="S10" s="52"/>
    </row>
    <row r="11" spans="1:19" ht="15.75" customHeight="1" x14ac:dyDescent="0.4">
      <c r="A11" s="5">
        <f t="shared" si="3"/>
        <v>45971</v>
      </c>
      <c r="B11" s="6">
        <f t="shared" si="4"/>
        <v>2</v>
      </c>
      <c r="C11" s="12" t="s">
        <v>134</v>
      </c>
      <c r="D11" s="1"/>
      <c r="E11" s="1"/>
      <c r="F11" s="1"/>
      <c r="G11" s="1"/>
      <c r="J11" s="72"/>
      <c r="K11" s="72"/>
      <c r="M11" s="5">
        <f t="shared" si="1"/>
        <v>45971</v>
      </c>
      <c r="N11" s="6">
        <f t="shared" si="2"/>
        <v>2</v>
      </c>
      <c r="O11" s="18" t="str">
        <f>IFERROR(IF(IFERROR(FIND("安檢",$J$7),0),IF(MOD(_xlfn.DAYS(M11+2,FIND($J$7,假別_設定區!$O$7)/9),4)&lt;1,"值日",IF(AND(N11&lt;7,N11&gt;1),"日班","輪休")),IF(MOD(_xlfn.DAYS(M11,FIND($J$7,假別_設定區!$O$7)/3),2)&lt;1,"值日","輪休")),"")</f>
        <v>日班</v>
      </c>
      <c r="R11" s="64"/>
    </row>
    <row r="12" spans="1:19" ht="15.75" customHeight="1" x14ac:dyDescent="0.4">
      <c r="A12" s="5">
        <f t="shared" si="3"/>
        <v>45972</v>
      </c>
      <c r="B12" s="6">
        <f t="shared" si="4"/>
        <v>3</v>
      </c>
      <c r="C12" s="12" t="s">
        <v>134</v>
      </c>
      <c r="D12" s="1"/>
      <c r="E12" s="1"/>
      <c r="F12" s="1"/>
      <c r="G12" s="1"/>
      <c r="J12" s="72"/>
      <c r="K12" s="72"/>
      <c r="M12" s="5">
        <f t="shared" si="1"/>
        <v>45972</v>
      </c>
      <c r="N12" s="6">
        <f t="shared" si="2"/>
        <v>3</v>
      </c>
      <c r="O12" s="18" t="str">
        <f>IFERROR(IF(IFERROR(FIND("安檢",$J$7),0),IF(MOD(_xlfn.DAYS(M12+2,FIND($J$7,假別_設定區!$O$7)/9),4)&lt;1,"值日",IF(AND(N12&lt;7,N12&gt;1),"日班","輪休")),IF(MOD(_xlfn.DAYS(M12,FIND($J$7,假別_設定區!$O$7)/3),2)&lt;1,"值日","輪休")),"")</f>
        <v>日班</v>
      </c>
      <c r="R12" s="64"/>
    </row>
    <row r="13" spans="1:19" ht="15.75" customHeight="1" x14ac:dyDescent="0.4">
      <c r="A13" s="5">
        <f t="shared" si="3"/>
        <v>45973</v>
      </c>
      <c r="B13" s="6">
        <f t="shared" si="4"/>
        <v>4</v>
      </c>
      <c r="C13" s="12" t="s">
        <v>134</v>
      </c>
      <c r="D13" s="1"/>
      <c r="E13" s="1"/>
      <c r="F13" s="1"/>
      <c r="G13" s="1"/>
      <c r="J13" s="73" t="s">
        <v>126</v>
      </c>
      <c r="K13" s="73"/>
      <c r="M13" s="5">
        <f t="shared" si="1"/>
        <v>45973</v>
      </c>
      <c r="N13" s="6">
        <f t="shared" si="2"/>
        <v>4</v>
      </c>
      <c r="O13" s="18" t="str">
        <f>IFERROR(IF(IFERROR(FIND("安檢",$J$7),0),IF(MOD(_xlfn.DAYS(M13+2,FIND($J$7,假別_設定區!$O$7)/9),4)&lt;1,"值日",IF(AND(N13&lt;7,N13&gt;1),"日班","輪休")),IF(MOD(_xlfn.DAYS(M13,FIND($J$7,假別_設定區!$O$7)/3),2)&lt;1,"值日","輪休")),"")</f>
        <v>值日</v>
      </c>
      <c r="R13" s="64"/>
    </row>
    <row r="14" spans="1:19" ht="15.75" customHeight="1" x14ac:dyDescent="0.45">
      <c r="A14" s="5">
        <f t="shared" si="3"/>
        <v>45974</v>
      </c>
      <c r="B14" s="6">
        <f t="shared" si="4"/>
        <v>5</v>
      </c>
      <c r="C14" s="12" t="s">
        <v>134</v>
      </c>
      <c r="D14" s="1"/>
      <c r="E14" s="1"/>
      <c r="F14" s="1"/>
      <c r="G14" s="1"/>
      <c r="J14" s="71" t="s">
        <v>34</v>
      </c>
      <c r="K14" s="71"/>
      <c r="M14" s="5">
        <f t="shared" si="1"/>
        <v>45974</v>
      </c>
      <c r="N14" s="6">
        <f t="shared" si="2"/>
        <v>5</v>
      </c>
      <c r="O14" s="18" t="str">
        <f>IFERROR(IF(IFERROR(FIND("安檢",$J$7),0),IF(MOD(_xlfn.DAYS(M14+2,FIND($J$7,假別_設定區!$O$7)/9),4)&lt;1,"值日",IF(AND(N14&lt;7,N14&gt;1),"日班","輪休")),IF(MOD(_xlfn.DAYS(M14,FIND($J$7,假別_設定區!$O$7)/3),2)&lt;1,"值日","輪休")),"")</f>
        <v>日班</v>
      </c>
    </row>
    <row r="15" spans="1:19" ht="15.75" customHeight="1" x14ac:dyDescent="0.4">
      <c r="A15" s="5">
        <f t="shared" si="3"/>
        <v>45975</v>
      </c>
      <c r="B15" s="6">
        <f t="shared" si="4"/>
        <v>6</v>
      </c>
      <c r="C15" s="12" t="s">
        <v>134</v>
      </c>
      <c r="D15" s="1"/>
      <c r="E15" s="1"/>
      <c r="F15" s="1"/>
      <c r="G15" s="1"/>
      <c r="J15" s="38" t="str" cm="1">
        <f t="array" ref="J15:J21">_xlfn._xlws.FILTER(假別_設定區!$B$2:$B$43,假別_設定區!$B$2:$B$43&lt;&gt;"")</f>
        <v>值日</v>
      </c>
      <c r="K15" s="38" t="str" cm="1">
        <f t="array" ref="K15:K21">_xlfn._xlws.FILTER(假別_設定區!$H$2:$H$43,假別_設定區!$H$2:$H$43&lt;&gt;"")</f>
        <v>婚假</v>
      </c>
      <c r="M15" s="5">
        <f t="shared" si="1"/>
        <v>45975</v>
      </c>
      <c r="N15" s="6">
        <f t="shared" si="2"/>
        <v>6</v>
      </c>
      <c r="O15" s="18" t="str">
        <f>IFERROR(IF(IFERROR(FIND("安檢",$J$7),0),IF(MOD(_xlfn.DAYS(M15+2,FIND($J$7,假別_設定區!$O$7)/9),4)&lt;1,"值日",IF(AND(N15&lt;7,N15&gt;1),"日班","輪休")),IF(MOD(_xlfn.DAYS(M15,FIND($J$7,假別_設定區!$O$7)/3),2)&lt;1,"值日","輪休")),"")</f>
        <v>日班</v>
      </c>
    </row>
    <row r="16" spans="1:19" ht="15.75" customHeight="1" x14ac:dyDescent="0.4">
      <c r="A16" s="5">
        <f t="shared" si="3"/>
        <v>45976</v>
      </c>
      <c r="B16" s="6">
        <f t="shared" si="4"/>
        <v>7</v>
      </c>
      <c r="C16" s="12" t="s">
        <v>134</v>
      </c>
      <c r="D16" s="1"/>
      <c r="E16" s="1"/>
      <c r="F16" s="1"/>
      <c r="G16" s="1"/>
      <c r="J16" s="38" t="str">
        <v>日班</v>
      </c>
      <c r="K16" s="38" t="str">
        <v>生理假</v>
      </c>
      <c r="M16" s="5">
        <f t="shared" si="1"/>
        <v>45976</v>
      </c>
      <c r="N16" s="6">
        <f t="shared" si="2"/>
        <v>7</v>
      </c>
      <c r="O16" s="18" t="str">
        <f>IFERROR(IF(IFERROR(FIND("安檢",$J$7),0),IF(MOD(_xlfn.DAYS(M16+2,FIND($J$7,假別_設定區!$O$7)/9),4)&lt;1,"值日",IF(AND(N16&lt;7,N16&gt;1),"日班","輪休")),IF(MOD(_xlfn.DAYS(M16,FIND($J$7,假別_設定區!$O$7)/3),2)&lt;1,"值日","輪休")),"")</f>
        <v>輪休</v>
      </c>
    </row>
    <row r="17" spans="1:19" ht="15.75" customHeight="1" x14ac:dyDescent="0.4">
      <c r="A17" s="5">
        <f t="shared" si="3"/>
        <v>45977</v>
      </c>
      <c r="B17" s="6">
        <f t="shared" si="4"/>
        <v>1</v>
      </c>
      <c r="C17" s="12" t="s">
        <v>134</v>
      </c>
      <c r="D17" s="1"/>
      <c r="E17" s="1"/>
      <c r="F17" s="1"/>
      <c r="G17" s="1"/>
      <c r="J17" s="38" t="str">
        <v>局補</v>
      </c>
      <c r="K17" s="38" t="str">
        <v>.</v>
      </c>
      <c r="M17" s="5">
        <f t="shared" si="1"/>
        <v>45977</v>
      </c>
      <c r="N17" s="6">
        <f t="shared" si="2"/>
        <v>1</v>
      </c>
      <c r="O17" s="18" t="str">
        <f>IFERROR(IF(IFERROR(FIND("安檢",$J$7),0),IF(MOD(_xlfn.DAYS(M17+2,FIND($J$7,假別_設定區!$O$7)/9),4)&lt;1,"值日",IF(AND(N17&lt;7,N17&gt;1),"日班","輪休")),IF(MOD(_xlfn.DAYS(M17,FIND($J$7,假別_設定區!$O$7)/3),2)&lt;1,"值日","輪休")),"")</f>
        <v>值日</v>
      </c>
    </row>
    <row r="18" spans="1:19" ht="15.75" customHeight="1" x14ac:dyDescent="0.4">
      <c r="A18" s="5">
        <f t="shared" si="3"/>
        <v>45978</v>
      </c>
      <c r="B18" s="6">
        <f t="shared" si="4"/>
        <v>2</v>
      </c>
      <c r="C18" s="12" t="s">
        <v>134</v>
      </c>
      <c r="D18" s="1"/>
      <c r="E18" s="1"/>
      <c r="F18" s="1"/>
      <c r="G18" s="1"/>
      <c r="J18" s="38" t="str">
        <v>輪休</v>
      </c>
      <c r="K18" s="38" t="str">
        <v>..</v>
      </c>
      <c r="M18" s="5">
        <f t="shared" si="1"/>
        <v>45978</v>
      </c>
      <c r="N18" s="6">
        <f t="shared" si="2"/>
        <v>2</v>
      </c>
      <c r="O18" s="18" t="str">
        <f>IFERROR(IF(IFERROR(FIND("安檢",$J$7),0),IF(MOD(_xlfn.DAYS(M18+2,FIND($J$7,假別_設定區!$O$7)/9),4)&lt;1,"值日",IF(AND(N18&lt;7,N18&gt;1),"日班","輪休")),IF(MOD(_xlfn.DAYS(M18,FIND($J$7,假別_設定區!$O$7)/3),2)&lt;1,"值日","輪休")),"")</f>
        <v>日班</v>
      </c>
    </row>
    <row r="19" spans="1:19" ht="15.75" customHeight="1" x14ac:dyDescent="0.4">
      <c r="A19" s="5">
        <f t="shared" si="3"/>
        <v>45979</v>
      </c>
      <c r="B19" s="6">
        <f t="shared" si="4"/>
        <v>3</v>
      </c>
      <c r="C19" s="12" t="s">
        <v>134</v>
      </c>
      <c r="D19" s="1"/>
      <c r="E19" s="1"/>
      <c r="F19" s="1"/>
      <c r="G19" s="1"/>
      <c r="J19" s="38" t="str">
        <v>補休</v>
      </c>
      <c r="K19" s="38" t="str">
        <v>…</v>
      </c>
      <c r="M19" s="5">
        <f t="shared" si="1"/>
        <v>45979</v>
      </c>
      <c r="N19" s="6">
        <f t="shared" si="2"/>
        <v>3</v>
      </c>
      <c r="O19" s="18" t="str">
        <f>IFERROR(IF(IFERROR(FIND("安檢",$J$7),0),IF(MOD(_xlfn.DAYS(M19+2,FIND($J$7,假別_設定區!$O$7)/9),4)&lt;1,"值日",IF(AND(N19&lt;7,N19&gt;1),"日班","輪休")),IF(MOD(_xlfn.DAYS(M19,FIND($J$7,假別_設定區!$O$7)/3),2)&lt;1,"值日","輪休")),"")</f>
        <v>日班</v>
      </c>
    </row>
    <row r="20" spans="1:19" ht="15.75" customHeight="1" x14ac:dyDescent="0.45">
      <c r="A20" s="5">
        <f t="shared" si="3"/>
        <v>45980</v>
      </c>
      <c r="B20" s="6">
        <f t="shared" si="4"/>
        <v>4</v>
      </c>
      <c r="C20" s="12" t="s">
        <v>134</v>
      </c>
      <c r="D20" s="1"/>
      <c r="E20" s="1"/>
      <c r="F20" s="1"/>
      <c r="G20" s="1"/>
      <c r="J20" s="38" t="str">
        <v>請休</v>
      </c>
      <c r="K20" s="38" t="str">
        <v>….</v>
      </c>
      <c r="M20" s="5">
        <f t="shared" si="1"/>
        <v>45980</v>
      </c>
      <c r="N20" s="6">
        <f t="shared" si="2"/>
        <v>4</v>
      </c>
      <c r="O20" s="18" t="str">
        <f>IFERROR(IF(IFERROR(FIND("安檢",$J$7),0),IF(MOD(_xlfn.DAYS(M20+2,FIND($J$7,假別_設定區!$O$7)/9),4)&lt;1,"值日",IF(AND(N20&lt;7,N20&gt;1),"日班","輪休")),IF(MOD(_xlfn.DAYS(M20,FIND($J$7,假別_設定區!$O$7)/3),2)&lt;1,"值日","輪休")),"")</f>
        <v>日班</v>
      </c>
      <c r="S20" s="53"/>
    </row>
    <row r="21" spans="1:19" ht="15.75" customHeight="1" x14ac:dyDescent="0.4">
      <c r="A21" s="5">
        <f t="shared" si="3"/>
        <v>45981</v>
      </c>
      <c r="B21" s="6">
        <f t="shared" si="4"/>
        <v>5</v>
      </c>
      <c r="C21" s="12" t="s">
        <v>134</v>
      </c>
      <c r="D21" s="1"/>
      <c r="E21" s="1"/>
      <c r="F21" s="1"/>
      <c r="G21" s="1"/>
      <c r="J21" s="38" t="str">
        <v>外宿</v>
      </c>
      <c r="K21" s="38" t="str">
        <v>…..</v>
      </c>
      <c r="M21" s="5">
        <f t="shared" si="1"/>
        <v>45981</v>
      </c>
      <c r="N21" s="6">
        <f t="shared" si="2"/>
        <v>5</v>
      </c>
      <c r="O21" s="18" t="str">
        <f>IFERROR(IF(IFERROR(FIND("安檢",$J$7),0),IF(MOD(_xlfn.DAYS(M21+2,FIND($J$7,假別_設定區!$O$7)/9),4)&lt;1,"值日",IF(AND(N21&lt;7,N21&gt;1),"日班","輪休")),IF(MOD(_xlfn.DAYS(M21,FIND($J$7,假別_設定區!$O$7)/3),2)&lt;1,"值日","輪休")),"")</f>
        <v>值日</v>
      </c>
    </row>
    <row r="22" spans="1:19" ht="15.75" customHeight="1" x14ac:dyDescent="0.4">
      <c r="A22" s="5">
        <f t="shared" si="3"/>
        <v>45982</v>
      </c>
      <c r="B22" s="6">
        <f t="shared" si="4"/>
        <v>6</v>
      </c>
      <c r="C22" s="12" t="s">
        <v>134</v>
      </c>
      <c r="D22" s="1"/>
      <c r="E22" s="1"/>
      <c r="F22" s="1"/>
      <c r="G22" s="1"/>
      <c r="J22" s="38"/>
      <c r="K22" s="38"/>
      <c r="M22" s="5">
        <f t="shared" si="1"/>
        <v>45982</v>
      </c>
      <c r="N22" s="6">
        <f t="shared" si="2"/>
        <v>6</v>
      </c>
      <c r="O22" s="18" t="str">
        <f>IFERROR(IF(IFERROR(FIND("安檢",$J$7),0),IF(MOD(_xlfn.DAYS(M22+2,FIND($J$7,假別_設定區!$O$7)/9),4)&lt;1,"值日",IF(AND(N22&lt;7,N22&gt;1),"日班","輪休")),IF(MOD(_xlfn.DAYS(M22,FIND($J$7,假別_設定區!$O$7)/3),2)&lt;1,"值日","輪休")),"")</f>
        <v>日班</v>
      </c>
    </row>
    <row r="23" spans="1:19" ht="15.75" customHeight="1" x14ac:dyDescent="0.4">
      <c r="A23" s="5">
        <f t="shared" si="3"/>
        <v>45983</v>
      </c>
      <c r="B23" s="6">
        <f t="shared" si="4"/>
        <v>7</v>
      </c>
      <c r="C23" s="12" t="s">
        <v>134</v>
      </c>
      <c r="D23" s="1"/>
      <c r="E23" s="1"/>
      <c r="F23" s="1"/>
      <c r="G23" s="1"/>
      <c r="M23" s="5">
        <f t="shared" si="1"/>
        <v>45983</v>
      </c>
      <c r="N23" s="6">
        <f t="shared" si="2"/>
        <v>7</v>
      </c>
      <c r="O23" s="18" t="str">
        <f>IFERROR(IF(IFERROR(FIND("安檢",$J$7),0),IF(MOD(_xlfn.DAYS(M23+2,FIND($J$7,假別_設定區!$O$7)/9),4)&lt;1,"值日",IF(AND(N23&lt;7,N23&gt;1),"日班","輪休")),IF(MOD(_xlfn.DAYS(M23,FIND($J$7,假別_設定區!$O$7)/3),2)&lt;1,"值日","輪休")),"")</f>
        <v>輪休</v>
      </c>
    </row>
    <row r="24" spans="1:19" ht="15.75" customHeight="1" x14ac:dyDescent="0.4">
      <c r="A24" s="5">
        <f t="shared" si="3"/>
        <v>45984</v>
      </c>
      <c r="B24" s="6">
        <f t="shared" si="4"/>
        <v>1</v>
      </c>
      <c r="C24" s="12" t="s">
        <v>134</v>
      </c>
      <c r="D24" s="1"/>
      <c r="E24" s="1"/>
      <c r="F24" s="1"/>
      <c r="G24" s="1"/>
      <c r="M24" s="5">
        <f t="shared" si="1"/>
        <v>45984</v>
      </c>
      <c r="N24" s="6">
        <f t="shared" si="2"/>
        <v>1</v>
      </c>
      <c r="O24" s="18" t="str">
        <f>IFERROR(IF(IFERROR(FIND("安檢",$J$7),0),IF(MOD(_xlfn.DAYS(M24+2,FIND($J$7,假別_設定區!$O$7)/9),4)&lt;1,"值日",IF(AND(N24&lt;7,N24&gt;1),"日班","輪休")),IF(MOD(_xlfn.DAYS(M24,FIND($J$7,假別_設定區!$O$7)/3),2)&lt;1,"值日","輪休")),"")</f>
        <v>輪休</v>
      </c>
    </row>
    <row r="25" spans="1:19" ht="15.75" customHeight="1" x14ac:dyDescent="0.4">
      <c r="A25" s="5">
        <f t="shared" si="3"/>
        <v>45985</v>
      </c>
      <c r="B25" s="6">
        <f t="shared" si="4"/>
        <v>2</v>
      </c>
      <c r="C25" s="12" t="s">
        <v>134</v>
      </c>
      <c r="D25" s="1"/>
      <c r="E25" s="1"/>
      <c r="F25" s="1"/>
      <c r="G25" s="1"/>
      <c r="M25" s="5">
        <f t="shared" si="1"/>
        <v>45985</v>
      </c>
      <c r="N25" s="6">
        <f t="shared" si="2"/>
        <v>2</v>
      </c>
      <c r="O25" s="18" t="str">
        <f>IFERROR(IF(IFERROR(FIND("安檢",$J$7),0),IF(MOD(_xlfn.DAYS(M25+2,FIND($J$7,假別_設定區!$O$7)/9),4)&lt;1,"值日",IF(AND(N25&lt;7,N25&gt;1),"日班","輪休")),IF(MOD(_xlfn.DAYS(M25,FIND($J$7,假別_設定區!$O$7)/3),2)&lt;1,"值日","輪休")),"")</f>
        <v>值日</v>
      </c>
    </row>
    <row r="26" spans="1:19" ht="15.75" customHeight="1" x14ac:dyDescent="0.4">
      <c r="A26" s="5">
        <f t="shared" si="3"/>
        <v>45986</v>
      </c>
      <c r="B26" s="6">
        <f t="shared" si="4"/>
        <v>3</v>
      </c>
      <c r="C26" s="12" t="s">
        <v>134</v>
      </c>
      <c r="D26" s="1"/>
      <c r="E26" s="1"/>
      <c r="F26" s="1"/>
      <c r="G26" s="1"/>
      <c r="M26" s="5">
        <f t="shared" si="1"/>
        <v>45986</v>
      </c>
      <c r="N26" s="6">
        <f t="shared" si="2"/>
        <v>3</v>
      </c>
      <c r="O26" s="18" t="str">
        <f>IFERROR(IF(IFERROR(FIND("安檢",$J$7),0),IF(MOD(_xlfn.DAYS(M26+2,FIND($J$7,假別_設定區!$O$7)/9),4)&lt;1,"值日",IF(AND(N26&lt;7,N26&gt;1),"日班","輪休")),IF(MOD(_xlfn.DAYS(M26,FIND($J$7,假別_設定區!$O$7)/3),2)&lt;1,"值日","輪休")),"")</f>
        <v>日班</v>
      </c>
    </row>
    <row r="27" spans="1:19" ht="15.75" customHeight="1" x14ac:dyDescent="0.4">
      <c r="A27" s="5">
        <f t="shared" si="3"/>
        <v>45987</v>
      </c>
      <c r="B27" s="6">
        <f t="shared" si="4"/>
        <v>4</v>
      </c>
      <c r="C27" s="12" t="s">
        <v>134</v>
      </c>
      <c r="D27" s="1"/>
      <c r="E27" s="1"/>
      <c r="F27" s="1"/>
      <c r="G27" s="1"/>
      <c r="M27" s="5">
        <f t="shared" si="1"/>
        <v>45987</v>
      </c>
      <c r="N27" s="6">
        <f t="shared" si="2"/>
        <v>4</v>
      </c>
      <c r="O27" s="18" t="str">
        <f>IFERROR(IF(IFERROR(FIND("安檢",$J$7),0),IF(MOD(_xlfn.DAYS(M27+2,FIND($J$7,假別_設定區!$O$7)/9),4)&lt;1,"值日",IF(AND(N27&lt;7,N27&gt;1),"日班","輪休")),IF(MOD(_xlfn.DAYS(M27,FIND($J$7,假別_設定區!$O$7)/3),2)&lt;1,"值日","輪休")),"")</f>
        <v>日班</v>
      </c>
    </row>
    <row r="28" spans="1:19" ht="15.75" customHeight="1" x14ac:dyDescent="0.4">
      <c r="A28" s="5">
        <f t="shared" si="3"/>
        <v>45988</v>
      </c>
      <c r="B28" s="6">
        <f t="shared" si="4"/>
        <v>5</v>
      </c>
      <c r="C28" s="12" t="s">
        <v>134</v>
      </c>
      <c r="D28" s="1"/>
      <c r="E28" s="1"/>
      <c r="F28" s="1"/>
      <c r="G28" s="1"/>
      <c r="M28" s="5">
        <f t="shared" si="1"/>
        <v>45988</v>
      </c>
      <c r="N28" s="6">
        <f t="shared" si="2"/>
        <v>5</v>
      </c>
      <c r="O28" s="18" t="str">
        <f>IFERROR(IF(IFERROR(FIND("安檢",$J$7),0),IF(MOD(_xlfn.DAYS(M28+2,FIND($J$7,假別_設定區!$O$7)/9),4)&lt;1,"值日",IF(AND(N28&lt;7,N28&gt;1),"日班","輪休")),IF(MOD(_xlfn.DAYS(M28,FIND($J$7,假別_設定區!$O$7)/3),2)&lt;1,"值日","輪休")),"")</f>
        <v>日班</v>
      </c>
    </row>
    <row r="29" spans="1:19" ht="15.75" customHeight="1" x14ac:dyDescent="0.4">
      <c r="A29" s="5">
        <f t="shared" si="3"/>
        <v>45989</v>
      </c>
      <c r="B29" s="6">
        <f t="shared" si="4"/>
        <v>6</v>
      </c>
      <c r="C29" s="12" t="s">
        <v>134</v>
      </c>
      <c r="D29" s="1"/>
      <c r="E29" s="1"/>
      <c r="F29" s="1"/>
      <c r="G29" s="1"/>
      <c r="M29" s="5">
        <f t="shared" si="1"/>
        <v>45989</v>
      </c>
      <c r="N29" s="6">
        <f t="shared" si="2"/>
        <v>6</v>
      </c>
      <c r="O29" s="18" t="str">
        <f>IFERROR(IF(IFERROR(FIND("安檢",$J$7),0),IF(MOD(_xlfn.DAYS(M29+2,FIND($J$7,假別_設定區!$O$7)/9),4)&lt;1,"值日",IF(AND(N29&lt;7,N29&gt;1),"日班","輪休")),IF(MOD(_xlfn.DAYS(M29,FIND($J$7,假別_設定區!$O$7)/3),2)&lt;1,"值日","輪休")),"")</f>
        <v>值日</v>
      </c>
    </row>
    <row r="30" spans="1:19" ht="15.75" customHeight="1" x14ac:dyDescent="0.4">
      <c r="A30" s="5">
        <f t="shared" si="3"/>
        <v>45990</v>
      </c>
      <c r="B30" s="6">
        <f t="shared" si="4"/>
        <v>7</v>
      </c>
      <c r="C30" s="12" t="s">
        <v>134</v>
      </c>
      <c r="D30" s="1"/>
      <c r="E30" s="1"/>
      <c r="F30" s="1"/>
      <c r="G30" s="1"/>
      <c r="M30" s="5">
        <f t="shared" si="1"/>
        <v>45990</v>
      </c>
      <c r="N30" s="6">
        <f t="shared" si="2"/>
        <v>7</v>
      </c>
      <c r="O30" s="18" t="str">
        <f>IFERROR(IF(IFERROR(FIND("安檢",$J$7),0),IF(MOD(_xlfn.DAYS(M30+2,FIND($J$7,假別_設定區!$O$7)/9),4)&lt;1,"值日",IF(AND(N30&lt;7,N30&gt;1),"日班","輪休")),IF(MOD(_xlfn.DAYS(M30,FIND($J$7,假別_設定區!$O$7)/3),2)&lt;1,"值日","輪休")),"")</f>
        <v>輪休</v>
      </c>
    </row>
    <row r="31" spans="1:19" ht="15.75" customHeight="1" x14ac:dyDescent="0.4">
      <c r="A31" s="5">
        <f t="shared" si="3"/>
        <v>45991</v>
      </c>
      <c r="B31" s="6">
        <f t="shared" si="4"/>
        <v>1</v>
      </c>
      <c r="C31" s="12" t="s">
        <v>134</v>
      </c>
      <c r="D31" s="1"/>
      <c r="E31" s="1"/>
      <c r="F31" s="1"/>
      <c r="G31" s="1"/>
      <c r="L31" s="21"/>
      <c r="M31" s="5">
        <f t="shared" si="1"/>
        <v>45991</v>
      </c>
      <c r="N31" s="6">
        <f t="shared" si="2"/>
        <v>1</v>
      </c>
      <c r="O31" s="18" t="str">
        <f>IFERROR(IF(IFERROR(FIND("安檢",$J$7),0),IF(MOD(_xlfn.DAYS(M31+2,FIND($J$7,假別_設定區!$O$7)/9),4)&lt;1,"值日",IF(AND(N31&lt;7,N31&gt;1),"日班","輪休")),IF(MOD(_xlfn.DAYS(M31,FIND($J$7,假別_設定區!$O$7)/3),2)&lt;1,"值日","輪休")),"")</f>
        <v>輪休</v>
      </c>
    </row>
    <row r="32" spans="1:19" ht="15" customHeight="1" x14ac:dyDescent="0.4">
      <c r="A32" s="5" t="str">
        <f t="shared" si="3"/>
        <v xml:space="preserve"> </v>
      </c>
      <c r="B32" s="6" t="str">
        <f t="shared" ref="B32" si="5">IF(A32=" "," ",WEEKDAY(A32))</f>
        <v xml:space="preserve"> </v>
      </c>
      <c r="C32" s="12"/>
      <c r="D32" s="1"/>
      <c r="E32" s="1"/>
      <c r="F32" s="1"/>
      <c r="G32" s="1"/>
      <c r="J32" s="72"/>
      <c r="K32" s="72"/>
      <c r="L32" s="21"/>
      <c r="M32" s="5" t="str">
        <f t="shared" si="1"/>
        <v xml:space="preserve"> </v>
      </c>
      <c r="N32" s="6" t="str">
        <f t="shared" si="2"/>
        <v xml:space="preserve"> </v>
      </c>
      <c r="O32" s="18" t="str">
        <f>IFERROR(IF(IFERROR(FIND("安檢",$J$7),0),IF(MOD(_xlfn.DAYS(M32+2,FIND($J$7,假別_設定區!$O$7)/9),4)&lt;1,"值日",IF(AND(N32&lt;7,N32&gt;1),"日班","輪休")),IF(MOD(_xlfn.DAYS(M32,FIND($J$7,假別_設定區!$O$7)/3),2)&lt;1,"值日","輪休")),"")</f>
        <v/>
      </c>
    </row>
    <row r="33" spans="1:15" s="22" customFormat="1" ht="15" customHeight="1" thickBot="1" x14ac:dyDescent="0.45">
      <c r="A33" s="25"/>
      <c r="B33" s="26"/>
      <c r="C33" s="23"/>
      <c r="D33" s="24"/>
      <c r="E33" s="24"/>
      <c r="F33" s="24"/>
      <c r="G33" s="24"/>
      <c r="M33" s="25"/>
      <c r="N33" s="26"/>
      <c r="O33" s="23"/>
    </row>
    <row r="34" spans="1:15" ht="28.9" thickTop="1" x14ac:dyDescent="0.85">
      <c r="B34" s="41" t="s">
        <v>119</v>
      </c>
      <c r="C34" s="42"/>
      <c r="D34" s="42"/>
      <c r="E34" s="43"/>
      <c r="F34" s="24"/>
      <c r="G34" s="24"/>
      <c r="I34" s="65" t="s">
        <v>17</v>
      </c>
      <c r="J34" s="66"/>
      <c r="K34" s="67"/>
    </row>
    <row r="35" spans="1:15" ht="28.9" thickBot="1" x14ac:dyDescent="0.9">
      <c r="B35" s="44" t="s">
        <v>110</v>
      </c>
      <c r="C35" s="45"/>
      <c r="D35" s="45"/>
      <c r="E35" s="46"/>
      <c r="F35" s="24"/>
      <c r="G35" s="24"/>
      <c r="I35" s="68" t="s">
        <v>94</v>
      </c>
      <c r="J35" s="69"/>
      <c r="K35" s="70"/>
    </row>
    <row r="36" spans="1:15" ht="15.75" customHeight="1" thickTop="1" x14ac:dyDescent="0.4"/>
  </sheetData>
  <mergeCells count="18">
    <mergeCell ref="J1:K1"/>
    <mergeCell ref="J4:K4"/>
    <mergeCell ref="J7:K7"/>
    <mergeCell ref="J2:K2"/>
    <mergeCell ref="J10:K10"/>
    <mergeCell ref="J6:K6"/>
    <mergeCell ref="J9:K9"/>
    <mergeCell ref="J8:K8"/>
    <mergeCell ref="J5:K5"/>
    <mergeCell ref="J3:K3"/>
    <mergeCell ref="R2:R13"/>
    <mergeCell ref="I34:K34"/>
    <mergeCell ref="I35:K35"/>
    <mergeCell ref="J14:K14"/>
    <mergeCell ref="J11:K11"/>
    <mergeCell ref="J12:K12"/>
    <mergeCell ref="J32:K32"/>
    <mergeCell ref="J13:K13"/>
  </mergeCells>
  <phoneticPr fontId="1" type="noConversion"/>
  <conditionalFormatting sqref="D2:D33">
    <cfRule type="expression" dxfId="18" priority="525">
      <formula>IF(C2="值日",TRUE, FALSE)</formula>
    </cfRule>
  </conditionalFormatting>
  <conditionalFormatting sqref="E33:G33 F34:G35 E2:E32">
    <cfRule type="expression" dxfId="17" priority="524">
      <formula>IF(FIND("值日",C2),TRUE,FALSE)</formula>
    </cfRule>
  </conditionalFormatting>
  <conditionalFormatting sqref="C2:C32">
    <cfRule type="expression" dxfId="16" priority="523">
      <formula>IF(B2&lt;&gt;" ",TRUE,FALSE)</formula>
    </cfRule>
  </conditionalFormatting>
  <conditionalFormatting sqref="F2:F32">
    <cfRule type="expression" dxfId="15" priority="2">
      <formula>IF(E2="值日",TRUE, FALSE)</formula>
    </cfRule>
  </conditionalFormatting>
  <conditionalFormatting sqref="G2:G32">
    <cfRule type="expression" dxfId="14" priority="1">
      <formula>IF(FIND("值日",E2),TRUE,FALSE)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複製填假">
                <anchor moveWithCells="1" sizeWithCells="1">
                  <from>
                    <xdr:col>9</xdr:col>
                    <xdr:colOff>400050</xdr:colOff>
                    <xdr:row>9</xdr:row>
                    <xdr:rowOff>38100</xdr:rowOff>
                  </from>
                  <to>
                    <xdr:col>10</xdr:col>
                    <xdr:colOff>828675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存檔關閉並執行程式">
                <anchor moveWithCells="1" sizeWithCells="1">
                  <from>
                    <xdr:col>9</xdr:col>
                    <xdr:colOff>323850</xdr:colOff>
                    <xdr:row>24</xdr:row>
                    <xdr:rowOff>66675</xdr:rowOff>
                  </from>
                  <to>
                    <xdr:col>10</xdr:col>
                    <xdr:colOff>752475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CDB695B3-75B7-414D-A722-3348F90CFC93}">
            <xm:f>IF(C2=假別_設定區!$H$38,TRUE,FALSE)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32" id="{7101A9E6-CD1F-4145-A2A7-EC871C760356}">
            <xm:f>IF(C2=假別_設定區!$B$38,TRUE,FALSE)</xm:f>
            <x14:dxf>
              <fill>
                <patternFill>
                  <bgColor rgb="FFFF00FF"/>
                </patternFill>
              </fill>
            </x14:dxf>
          </x14:cfRule>
          <x14:cfRule type="expression" priority="33" id="{78B36B9E-DA23-438B-9D76-10B30C0E6D2E}">
            <xm:f>IF(C2=假別_設定區!$H$32,TRUE,FALSE)</xm:f>
            <x14:dxf>
              <fill>
                <patternFill>
                  <bgColor rgb="FF7030A0"/>
                </patternFill>
              </fill>
            </x14:dxf>
          </x14:cfRule>
          <x14:cfRule type="expression" priority="35" id="{688ED103-6A90-4B58-A559-CE587F1CE3CF}">
            <xm:f>IF(C2=假別_設定區!$H$26,TRUE,FALSE)</xm:f>
            <x14:dxf>
              <fill>
                <patternFill>
                  <bgColor theme="8" tint="-0.24994659260841701"/>
                </patternFill>
              </fill>
            </x14:dxf>
          </x14:cfRule>
          <x14:cfRule type="expression" priority="36" id="{C760C898-B225-4929-97BB-7A7E8492A4B7}">
            <xm:f>IF(C2=假別_設定區!$H$20,TRUE,FALSE)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37" id="{52E2F269-0C89-4DAF-9731-5F85C624FE44}">
            <xm:f>IF(C2=假別_設定區!$H$14,TRUE,FALSE)</xm:f>
            <x14:dxf>
              <fill>
                <patternFill>
                  <bgColor rgb="FF00B050"/>
                </patternFill>
              </fill>
            </x14:dxf>
          </x14:cfRule>
          <x14:cfRule type="expression" priority="38" id="{5BDFCCDD-C4D6-4C0F-AC2C-A3750EE408FC}">
            <xm:f>IF(C2=假別_設定區!$H$8,TRUE,FALSE)</xm:f>
            <x14:dxf>
              <fill>
                <patternFill>
                  <bgColor rgb="FF00B0F0"/>
                </patternFill>
              </fill>
            </x14:dxf>
          </x14:cfRule>
          <x14:cfRule type="expression" priority="39" id="{A3A12F30-4E74-4FC4-AD45-DC5DE50A2DBB}">
            <xm:f>IF(C2=假別_設定區!$H$2,TRUE,FALSE)</xm:f>
            <x14:dxf>
              <fill>
                <patternFill>
                  <bgColor theme="5" tint="-0.24994659260841701"/>
                </patternFill>
              </fill>
            </x14:dxf>
          </x14:cfRule>
          <x14:cfRule type="expression" priority="40" id="{00000000-000E-0000-0000-0000E2010000}">
            <xm:f>IF(C2=假別_設定區!$B$2,TRUE,FALSE)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518" id="{00000000-000E-0000-0000-0000E3010000}">
            <xm:f>IF(C2=假別_設定區!$B$8,TRUE,FALSE)</xm:f>
            <x14:dxf>
              <fill>
                <patternFill>
                  <bgColor rgb="FFAFF397"/>
                </patternFill>
              </fill>
            </x14:dxf>
          </x14:cfRule>
          <x14:cfRule type="expression" priority="519" id="{00000000-000E-0000-0000-0000E1010000}">
            <xm:f>IF(C2=假別_設定區!$B$14,TRUE,FALSE)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520" id="{00000000-000E-0000-0000-0000E0010000}">
            <xm:f>IF(C2=假別_設定區!$B$20,TRUE,FALSE)</xm:f>
            <x14:dxf>
              <fill>
                <patternFill>
                  <bgColor rgb="FFC2C2FA"/>
                </patternFill>
              </fill>
            </x14:dxf>
          </x14:cfRule>
          <x14:cfRule type="expression" priority="521" id="{00000000-000E-0000-0000-0000DE010000}">
            <xm:f>IF(C2=假別_設定區!$B$32,TRUE,FALSE)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522" id="{3C296AC3-8870-472E-A471-251B4C806842}">
            <xm:f>IF(C2=假別_設定區!$B$26,TRUE,FALSE)</xm:f>
            <x14:dxf>
              <fill>
                <patternFill>
                  <bgColor theme="6" tint="0.59996337778862885"/>
                </patternFill>
              </fill>
            </x14:dxf>
          </x14:cfRule>
          <xm:sqref>J15:K21 O2:O32 C2:C32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FC0C74-9DE7-4A6F-B5B0-6EE72CB71974}">
          <x14:formula1>
            <xm:f>假別_設定區!$P$7:$P$12</xm:f>
          </x14:formula1>
          <xm:sqref>J7</xm:sqref>
        </x14:dataValidation>
        <x14:dataValidation type="list" allowBlank="1" showInputMessage="1" xr:uid="{ECD263AE-115E-46D1-99FE-EABF828822FD}">
          <x14:formula1>
            <xm:f>假別_設定區!$Q$7:$Q$20</xm:f>
          </x14:formula1>
          <xm:sqref>C2:C32</xm:sqref>
        </x14:dataValidation>
        <x14:dataValidation type="list" allowBlank="1" showInputMessage="1" showErrorMessage="1" xr:uid="{55D89F16-2827-4E0A-B944-8438200158FF}">
          <x14:formula1>
            <xm:f>假別_設定區!$R$7:$R$8</xm:f>
          </x14:formula1>
          <xm:sqref>J8:K8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A2D4-8EEF-425A-A637-1CECD732345D}">
  <sheetPr codeName="工作表3">
    <tabColor theme="9" tint="0.59999389629810485"/>
  </sheetPr>
  <dimension ref="A1:S683"/>
  <sheetViews>
    <sheetView topLeftCell="A29" zoomScaleNormal="100" workbookViewId="0">
      <selection activeCell="I18" sqref="I18"/>
    </sheetView>
  </sheetViews>
  <sheetFormatPr defaultRowHeight="15.75" customHeight="1" x14ac:dyDescent="0.4"/>
  <cols>
    <col min="1" max="1" width="2.42578125" style="17" customWidth="1"/>
    <col min="2" max="2" width="9.140625" style="16"/>
    <col min="3" max="3" width="9.140625" style="18"/>
    <col min="4" max="4" width="9.140625" style="16"/>
    <col min="5" max="6" width="5.7109375" style="16" customWidth="1"/>
    <col min="7" max="7" width="2.42578125" style="17" customWidth="1"/>
    <col min="8" max="10" width="9.140625" style="16"/>
    <col min="11" max="12" width="5.7109375" style="16" customWidth="1"/>
    <col min="13" max="13" width="2.42578125" style="17" customWidth="1"/>
    <col min="14" max="14" width="9.140625" style="16"/>
    <col min="15" max="15" width="69.85546875" style="16" customWidth="1"/>
    <col min="16" max="18" width="9.140625" style="16"/>
    <col min="19" max="19" width="13.85546875" style="16" bestFit="1" customWidth="1"/>
    <col min="20" max="16384" width="9.140625" style="16"/>
  </cols>
  <sheetData>
    <row r="1" spans="1:19" s="20" customFormat="1" ht="36.75" customHeight="1" thickBot="1" x14ac:dyDescent="0.5">
      <c r="A1" s="13"/>
      <c r="B1" s="82" t="s">
        <v>31</v>
      </c>
      <c r="C1" s="82"/>
      <c r="D1" s="82"/>
      <c r="E1" s="82"/>
      <c r="F1" s="82"/>
      <c r="G1" s="37"/>
      <c r="H1" s="82" t="s">
        <v>32</v>
      </c>
      <c r="I1" s="82"/>
      <c r="J1" s="82"/>
      <c r="K1" s="82"/>
      <c r="L1" s="82"/>
      <c r="M1" s="13"/>
    </row>
    <row r="2" spans="1:19" s="11" customFormat="1" ht="15.75" customHeight="1" x14ac:dyDescent="0.45">
      <c r="A2" s="14">
        <v>1</v>
      </c>
      <c r="B2" s="34" t="s">
        <v>5</v>
      </c>
      <c r="C2" s="2" t="s">
        <v>10</v>
      </c>
      <c r="D2" s="56" t="s">
        <v>11</v>
      </c>
      <c r="E2" s="56" t="s">
        <v>118</v>
      </c>
      <c r="F2" s="56" t="s">
        <v>118</v>
      </c>
      <c r="G2" s="14">
        <v>1</v>
      </c>
      <c r="H2" s="27" t="s">
        <v>14</v>
      </c>
      <c r="I2" s="2" t="s">
        <v>15</v>
      </c>
      <c r="J2" s="11" t="s">
        <v>14</v>
      </c>
      <c r="M2" s="14">
        <v>1</v>
      </c>
      <c r="O2" s="57" t="s">
        <v>76</v>
      </c>
    </row>
    <row r="3" spans="1:19" s="11" customFormat="1" ht="15.75" customHeight="1" x14ac:dyDescent="0.4">
      <c r="A3" s="15">
        <v>2</v>
      </c>
      <c r="B3" s="33"/>
      <c r="C3" s="2"/>
      <c r="D3" s="55"/>
      <c r="E3" s="55"/>
      <c r="F3" s="55"/>
      <c r="G3" s="15">
        <v>2</v>
      </c>
      <c r="I3" s="2"/>
      <c r="M3" s="15">
        <v>2</v>
      </c>
      <c r="N3" s="21"/>
      <c r="O3" s="47" t="s">
        <v>74</v>
      </c>
    </row>
    <row r="4" spans="1:19" s="11" customFormat="1" ht="15.75" customHeight="1" x14ac:dyDescent="0.4">
      <c r="A4" s="15">
        <v>3</v>
      </c>
      <c r="B4" s="33"/>
      <c r="C4" s="2"/>
      <c r="G4" s="15">
        <v>3</v>
      </c>
      <c r="I4" s="2"/>
      <c r="M4" s="15">
        <v>3</v>
      </c>
      <c r="N4" s="21"/>
      <c r="O4" s="47" t="s">
        <v>75</v>
      </c>
    </row>
    <row r="5" spans="1:19" s="11" customFormat="1" ht="15.75" customHeight="1" x14ac:dyDescent="0.4">
      <c r="A5" s="15">
        <v>4</v>
      </c>
      <c r="B5" s="33"/>
      <c r="C5" s="2"/>
      <c r="G5" s="15">
        <v>4</v>
      </c>
      <c r="I5" s="2"/>
      <c r="M5" s="15">
        <v>4</v>
      </c>
      <c r="N5" s="21"/>
      <c r="O5" s="47" t="s">
        <v>120</v>
      </c>
    </row>
    <row r="6" spans="1:19" s="11" customFormat="1" ht="15.75" customHeight="1" thickBot="1" x14ac:dyDescent="0.45">
      <c r="A6" s="15">
        <v>5</v>
      </c>
      <c r="B6" s="33"/>
      <c r="C6" s="2"/>
      <c r="G6" s="15">
        <v>5</v>
      </c>
      <c r="I6" s="2"/>
      <c r="M6" s="15">
        <v>5</v>
      </c>
      <c r="N6" s="21"/>
      <c r="O6" s="48" t="s">
        <v>129</v>
      </c>
    </row>
    <row r="7" spans="1:19" s="11" customFormat="1" ht="15.75" customHeight="1" x14ac:dyDescent="0.4">
      <c r="A7" s="15">
        <v>6</v>
      </c>
      <c r="B7" s="33"/>
      <c r="C7" s="3"/>
      <c r="D7" s="4"/>
      <c r="E7" s="4"/>
      <c r="F7" s="4"/>
      <c r="G7" s="15">
        <v>6</v>
      </c>
      <c r="I7" s="4"/>
      <c r="J7" s="4"/>
      <c r="K7" s="4"/>
      <c r="L7" s="4"/>
      <c r="M7" s="15">
        <v>6</v>
      </c>
      <c r="N7" s="21"/>
      <c r="O7" s="11" t="s">
        <v>41</v>
      </c>
      <c r="P7" s="11" t="s">
        <v>35</v>
      </c>
      <c r="Q7" s="11" t="str" cm="1">
        <f t="array" ref="Q7:Q13">_xlfn._xlws.FILTER(假別_設定區!$B$2:$B$43,假別_設定區!$B$2:$B$43&lt;&gt;"")</f>
        <v>值日</v>
      </c>
      <c r="R7" s="11" t="s">
        <v>117</v>
      </c>
      <c r="S7" s="11" t="s">
        <v>109</v>
      </c>
    </row>
    <row r="8" spans="1:19" s="11" customFormat="1" ht="15.75" customHeight="1" x14ac:dyDescent="0.4">
      <c r="A8" s="15">
        <v>1</v>
      </c>
      <c r="B8" s="50" t="s">
        <v>3</v>
      </c>
      <c r="C8" s="2" t="s">
        <v>15</v>
      </c>
      <c r="D8" s="2" t="s">
        <v>131</v>
      </c>
      <c r="G8" s="15">
        <v>1</v>
      </c>
      <c r="H8" s="28" t="s">
        <v>73</v>
      </c>
      <c r="I8" s="2" t="s">
        <v>15</v>
      </c>
      <c r="J8" s="11" t="s">
        <v>69</v>
      </c>
      <c r="M8" s="15">
        <v>1</v>
      </c>
      <c r="P8" s="21" t="s">
        <v>36</v>
      </c>
      <c r="Q8" s="11" t="str">
        <v>日班</v>
      </c>
      <c r="R8" s="11" t="s">
        <v>72</v>
      </c>
    </row>
    <row r="9" spans="1:19" s="11" customFormat="1" ht="15.75" customHeight="1" x14ac:dyDescent="0.4">
      <c r="A9" s="15">
        <v>2</v>
      </c>
      <c r="B9" s="16"/>
      <c r="C9" s="2"/>
      <c r="G9" s="15">
        <v>2</v>
      </c>
      <c r="I9" s="2"/>
      <c r="M9" s="15">
        <v>2</v>
      </c>
      <c r="P9" s="21" t="s">
        <v>37</v>
      </c>
      <c r="Q9" s="11" t="str">
        <v>局補</v>
      </c>
    </row>
    <row r="10" spans="1:19" s="11" customFormat="1" ht="15.75" customHeight="1" x14ac:dyDescent="0.4">
      <c r="A10" s="15">
        <v>3</v>
      </c>
      <c r="B10" s="16"/>
      <c r="C10" s="2"/>
      <c r="G10" s="15">
        <v>3</v>
      </c>
      <c r="I10" s="2"/>
      <c r="M10" s="15">
        <v>3</v>
      </c>
      <c r="P10" s="21" t="s">
        <v>38</v>
      </c>
      <c r="Q10" s="11" t="str">
        <v>輪休</v>
      </c>
    </row>
    <row r="11" spans="1:19" s="11" customFormat="1" ht="15.75" customHeight="1" x14ac:dyDescent="0.4">
      <c r="A11" s="15">
        <v>4</v>
      </c>
      <c r="B11" s="16"/>
      <c r="C11" s="2"/>
      <c r="G11" s="15">
        <v>4</v>
      </c>
      <c r="I11" s="2"/>
      <c r="M11" s="15">
        <v>4</v>
      </c>
      <c r="P11" s="11" t="s">
        <v>39</v>
      </c>
      <c r="Q11" s="11" t="str">
        <v>補休</v>
      </c>
    </row>
    <row r="12" spans="1:19" s="11" customFormat="1" ht="15.75" customHeight="1" x14ac:dyDescent="0.4">
      <c r="A12" s="15">
        <v>5</v>
      </c>
      <c r="B12" s="16"/>
      <c r="C12" s="2"/>
      <c r="G12" s="15">
        <v>5</v>
      </c>
      <c r="I12" s="2"/>
      <c r="M12" s="15">
        <v>5</v>
      </c>
      <c r="P12" s="11" t="s">
        <v>40</v>
      </c>
      <c r="Q12" s="11" t="str">
        <v>請休</v>
      </c>
    </row>
    <row r="13" spans="1:19" s="11" customFormat="1" ht="15.75" customHeight="1" x14ac:dyDescent="0.4">
      <c r="A13" s="15">
        <v>6</v>
      </c>
      <c r="B13" s="16"/>
      <c r="C13" s="3"/>
      <c r="D13" s="4"/>
      <c r="E13" s="4"/>
      <c r="F13" s="4"/>
      <c r="G13" s="15">
        <v>6</v>
      </c>
      <c r="I13" s="3"/>
      <c r="J13" s="4"/>
      <c r="K13" s="4"/>
      <c r="L13" s="4"/>
      <c r="M13" s="15">
        <v>6</v>
      </c>
      <c r="Q13" s="11" t="str">
        <v>外宿</v>
      </c>
    </row>
    <row r="14" spans="1:19" s="11" customFormat="1" ht="15.75" customHeight="1" x14ac:dyDescent="0.4">
      <c r="A14" s="15">
        <v>1</v>
      </c>
      <c r="B14" s="51" t="s">
        <v>8</v>
      </c>
      <c r="C14" s="2" t="s">
        <v>12</v>
      </c>
      <c r="D14" s="11" t="s">
        <v>13</v>
      </c>
      <c r="G14" s="15">
        <v>1</v>
      </c>
      <c r="H14" s="29" t="s">
        <v>135</v>
      </c>
      <c r="I14" s="2"/>
      <c r="M14" s="15">
        <v>1</v>
      </c>
      <c r="Q14" s="11" t="str" cm="1">
        <f t="array" ref="Q14:Q20">_xlfn._xlws.FILTER(假別_設定區!$H$2:$H$43,假別_設定區!$H$2:$H$43&lt;&gt;"")</f>
        <v>婚假</v>
      </c>
    </row>
    <row r="15" spans="1:19" s="11" customFormat="1" ht="15.75" customHeight="1" x14ac:dyDescent="0.4">
      <c r="A15" s="15">
        <v>2</v>
      </c>
      <c r="B15" s="16"/>
      <c r="C15" s="2"/>
      <c r="G15" s="15">
        <v>2</v>
      </c>
      <c r="I15" s="2"/>
      <c r="M15" s="15">
        <v>2</v>
      </c>
      <c r="Q15" s="11" t="str">
        <v>生理假</v>
      </c>
    </row>
    <row r="16" spans="1:19" s="11" customFormat="1" ht="15.75" customHeight="1" x14ac:dyDescent="0.4">
      <c r="A16" s="15">
        <v>3</v>
      </c>
      <c r="B16" s="16"/>
      <c r="C16" s="2"/>
      <c r="G16" s="15">
        <v>3</v>
      </c>
      <c r="I16" s="2"/>
      <c r="M16" s="15">
        <v>3</v>
      </c>
      <c r="Q16" s="11" t="str">
        <v>.</v>
      </c>
    </row>
    <row r="17" spans="1:17" s="11" customFormat="1" ht="15.75" customHeight="1" x14ac:dyDescent="0.4">
      <c r="A17" s="15">
        <v>4</v>
      </c>
      <c r="B17" s="16"/>
      <c r="C17" s="2"/>
      <c r="G17" s="15">
        <v>4</v>
      </c>
      <c r="I17" s="2"/>
      <c r="M17" s="15">
        <v>4</v>
      </c>
      <c r="Q17" s="11" t="str">
        <v>..</v>
      </c>
    </row>
    <row r="18" spans="1:17" s="11" customFormat="1" ht="15.75" customHeight="1" x14ac:dyDescent="0.4">
      <c r="A18" s="15">
        <v>5</v>
      </c>
      <c r="B18" s="16"/>
      <c r="C18" s="2"/>
      <c r="G18" s="15">
        <v>5</v>
      </c>
      <c r="I18" s="2"/>
      <c r="M18" s="15">
        <v>5</v>
      </c>
      <c r="Q18" s="11" t="str">
        <v>…</v>
      </c>
    </row>
    <row r="19" spans="1:17" s="11" customFormat="1" ht="15.75" customHeight="1" x14ac:dyDescent="0.4">
      <c r="A19" s="15">
        <v>6</v>
      </c>
      <c r="B19" s="16"/>
      <c r="C19" s="2"/>
      <c r="D19" s="4"/>
      <c r="E19" s="4"/>
      <c r="F19" s="4"/>
      <c r="G19" s="15">
        <v>6</v>
      </c>
      <c r="I19" s="3"/>
      <c r="J19" s="4"/>
      <c r="K19" s="4"/>
      <c r="L19" s="4"/>
      <c r="M19" s="15">
        <v>6</v>
      </c>
      <c r="Q19" s="11" t="str">
        <v>….</v>
      </c>
    </row>
    <row r="20" spans="1:17" s="11" customFormat="1" ht="15.75" customHeight="1" x14ac:dyDescent="0.4">
      <c r="A20" s="15">
        <v>1</v>
      </c>
      <c r="B20" s="49" t="s">
        <v>7</v>
      </c>
      <c r="C20" s="2" t="s">
        <v>12</v>
      </c>
      <c r="D20" s="11" t="s">
        <v>7</v>
      </c>
      <c r="G20" s="15">
        <v>1</v>
      </c>
      <c r="H20" s="30" t="s">
        <v>136</v>
      </c>
      <c r="I20" s="2"/>
      <c r="M20" s="15">
        <v>1</v>
      </c>
      <c r="Q20" s="11" t="str">
        <v>…..</v>
      </c>
    </row>
    <row r="21" spans="1:17" s="11" customFormat="1" ht="15.75" customHeight="1" x14ac:dyDescent="0.4">
      <c r="A21" s="15">
        <v>2</v>
      </c>
      <c r="B21" s="16"/>
      <c r="C21" s="2"/>
      <c r="G21" s="15">
        <v>2</v>
      </c>
      <c r="I21" s="2"/>
      <c r="M21" s="15">
        <v>2</v>
      </c>
    </row>
    <row r="22" spans="1:17" s="11" customFormat="1" ht="15.75" customHeight="1" x14ac:dyDescent="0.4">
      <c r="A22" s="15">
        <v>3</v>
      </c>
      <c r="B22" s="16"/>
      <c r="C22" s="9"/>
      <c r="D22" s="10"/>
      <c r="E22" s="10"/>
      <c r="G22" s="15">
        <v>3</v>
      </c>
      <c r="I22" s="2"/>
      <c r="M22" s="15">
        <v>3</v>
      </c>
    </row>
    <row r="23" spans="1:17" s="11" customFormat="1" ht="15.75" customHeight="1" x14ac:dyDescent="0.4">
      <c r="A23" s="15">
        <v>4</v>
      </c>
      <c r="B23" s="16"/>
      <c r="C23" s="2"/>
      <c r="G23" s="15">
        <v>4</v>
      </c>
      <c r="I23" s="2"/>
      <c r="M23" s="15">
        <v>4</v>
      </c>
    </row>
    <row r="24" spans="1:17" s="11" customFormat="1" ht="15.75" customHeight="1" x14ac:dyDescent="0.4">
      <c r="A24" s="15">
        <v>5</v>
      </c>
      <c r="B24" s="16"/>
      <c r="C24" s="2"/>
      <c r="G24" s="15">
        <v>5</v>
      </c>
      <c r="I24" s="2"/>
      <c r="M24" s="15">
        <v>5</v>
      </c>
    </row>
    <row r="25" spans="1:17" s="11" customFormat="1" ht="15.75" customHeight="1" x14ac:dyDescent="0.4">
      <c r="A25" s="15">
        <v>6</v>
      </c>
      <c r="B25" s="16"/>
      <c r="C25" s="3"/>
      <c r="D25" s="4"/>
      <c r="E25" s="4"/>
      <c r="F25" s="4"/>
      <c r="G25" s="15">
        <v>6</v>
      </c>
      <c r="I25" s="3"/>
      <c r="J25" s="4"/>
      <c r="K25" s="4"/>
      <c r="L25" s="4"/>
      <c r="M25" s="15">
        <v>6</v>
      </c>
    </row>
    <row r="26" spans="1:17" s="11" customFormat="1" ht="15.75" customHeight="1" x14ac:dyDescent="0.4">
      <c r="A26" s="15">
        <v>1</v>
      </c>
      <c r="B26" s="35" t="s">
        <v>133</v>
      </c>
      <c r="C26" s="2" t="s">
        <v>12</v>
      </c>
      <c r="D26" s="11" t="s">
        <v>132</v>
      </c>
      <c r="G26" s="15">
        <v>1</v>
      </c>
      <c r="H26" s="31" t="s">
        <v>66</v>
      </c>
      <c r="I26" s="2"/>
      <c r="M26" s="15">
        <v>1</v>
      </c>
    </row>
    <row r="27" spans="1:17" s="11" customFormat="1" ht="15.75" customHeight="1" x14ac:dyDescent="0.4">
      <c r="A27" s="15">
        <v>2</v>
      </c>
      <c r="B27" s="16"/>
      <c r="C27" s="2"/>
      <c r="G27" s="15">
        <v>2</v>
      </c>
      <c r="I27" s="2"/>
      <c r="M27" s="15">
        <v>2</v>
      </c>
    </row>
    <row r="28" spans="1:17" s="11" customFormat="1" ht="15.75" customHeight="1" x14ac:dyDescent="0.4">
      <c r="A28" s="15">
        <v>3</v>
      </c>
      <c r="B28" s="16"/>
      <c r="C28" s="2"/>
      <c r="G28" s="15">
        <v>3</v>
      </c>
      <c r="I28" s="2"/>
      <c r="M28" s="15">
        <v>3</v>
      </c>
    </row>
    <row r="29" spans="1:17" s="11" customFormat="1" ht="15.75" customHeight="1" x14ac:dyDescent="0.4">
      <c r="A29" s="15">
        <v>4</v>
      </c>
      <c r="B29" s="16"/>
      <c r="C29" s="2"/>
      <c r="G29" s="15">
        <v>4</v>
      </c>
      <c r="I29" s="2"/>
      <c r="M29" s="15">
        <v>4</v>
      </c>
    </row>
    <row r="30" spans="1:17" s="11" customFormat="1" ht="15.75" customHeight="1" x14ac:dyDescent="0.4">
      <c r="A30" s="15">
        <v>5</v>
      </c>
      <c r="B30" s="16"/>
      <c r="C30" s="2"/>
      <c r="G30" s="15">
        <v>5</v>
      </c>
      <c r="I30" s="2"/>
      <c r="M30" s="15">
        <v>5</v>
      </c>
    </row>
    <row r="31" spans="1:17" s="11" customFormat="1" ht="15.75" customHeight="1" x14ac:dyDescent="0.4">
      <c r="A31" s="15">
        <v>6</v>
      </c>
      <c r="B31" s="16"/>
      <c r="C31" s="3"/>
      <c r="D31" s="4"/>
      <c r="E31" s="4"/>
      <c r="F31" s="4"/>
      <c r="G31" s="15">
        <v>6</v>
      </c>
      <c r="I31" s="3"/>
      <c r="J31" s="4"/>
      <c r="K31" s="4"/>
      <c r="L31" s="4"/>
      <c r="M31" s="15">
        <v>6</v>
      </c>
    </row>
    <row r="32" spans="1:17" s="11" customFormat="1" ht="15.75" customHeight="1" x14ac:dyDescent="0.4">
      <c r="A32" s="15">
        <v>1</v>
      </c>
      <c r="B32" s="36" t="s">
        <v>9</v>
      </c>
      <c r="C32" s="2" t="s">
        <v>12</v>
      </c>
      <c r="D32" s="11" t="s">
        <v>9</v>
      </c>
      <c r="G32" s="15">
        <v>1</v>
      </c>
      <c r="H32" s="32" t="s">
        <v>67</v>
      </c>
      <c r="I32" s="2"/>
      <c r="M32" s="15">
        <v>1</v>
      </c>
    </row>
    <row r="33" spans="1:13" s="11" customFormat="1" ht="15" customHeight="1" x14ac:dyDescent="0.4">
      <c r="A33" s="15">
        <v>2</v>
      </c>
      <c r="B33" s="16"/>
      <c r="C33" s="2"/>
      <c r="G33" s="15">
        <v>2</v>
      </c>
      <c r="I33" s="2"/>
      <c r="M33" s="15">
        <v>2</v>
      </c>
    </row>
    <row r="34" spans="1:13" s="11" customFormat="1" ht="15.75" customHeight="1" x14ac:dyDescent="0.4">
      <c r="A34" s="15">
        <v>3</v>
      </c>
      <c r="B34" s="16"/>
      <c r="C34" s="2"/>
      <c r="G34" s="15">
        <v>3</v>
      </c>
      <c r="I34" s="2"/>
      <c r="M34" s="15">
        <v>3</v>
      </c>
    </row>
    <row r="35" spans="1:13" s="11" customFormat="1" ht="15.75" customHeight="1" x14ac:dyDescent="0.4">
      <c r="A35" s="15">
        <v>4</v>
      </c>
      <c r="B35" s="16"/>
      <c r="C35" s="2"/>
      <c r="G35" s="15">
        <v>4</v>
      </c>
      <c r="I35" s="2"/>
      <c r="M35" s="15">
        <v>4</v>
      </c>
    </row>
    <row r="36" spans="1:13" s="11" customFormat="1" ht="15.75" customHeight="1" x14ac:dyDescent="0.4">
      <c r="A36" s="15">
        <v>5</v>
      </c>
      <c r="B36" s="16"/>
      <c r="C36" s="2"/>
      <c r="G36" s="15">
        <v>5</v>
      </c>
      <c r="I36" s="2"/>
      <c r="M36" s="15">
        <v>5</v>
      </c>
    </row>
    <row r="37" spans="1:13" s="11" customFormat="1" ht="15.75" customHeight="1" x14ac:dyDescent="0.4">
      <c r="A37" s="15">
        <v>6</v>
      </c>
      <c r="B37" s="16"/>
      <c r="C37" s="3"/>
      <c r="D37" s="4"/>
      <c r="E37" s="4"/>
      <c r="F37" s="4"/>
      <c r="G37" s="15">
        <v>6</v>
      </c>
      <c r="I37" s="3"/>
      <c r="J37" s="4"/>
      <c r="K37" s="4"/>
      <c r="L37" s="4"/>
      <c r="M37" s="15">
        <v>6</v>
      </c>
    </row>
    <row r="38" spans="1:13" s="38" customFormat="1" ht="15.75" customHeight="1" x14ac:dyDescent="0.4">
      <c r="A38" s="15">
        <v>1</v>
      </c>
      <c r="B38" s="40" t="s">
        <v>70</v>
      </c>
      <c r="C38" s="2" t="s">
        <v>71</v>
      </c>
      <c r="D38" s="38" t="s">
        <v>70</v>
      </c>
      <c r="E38" s="38">
        <v>20</v>
      </c>
      <c r="F38" s="38">
        <v>8</v>
      </c>
      <c r="G38" s="15">
        <v>1</v>
      </c>
      <c r="H38" s="39" t="s">
        <v>68</v>
      </c>
      <c r="I38" s="2"/>
      <c r="M38" s="15">
        <v>1</v>
      </c>
    </row>
    <row r="39" spans="1:13" s="38" customFormat="1" ht="15" customHeight="1" x14ac:dyDescent="0.4">
      <c r="A39" s="15">
        <v>2</v>
      </c>
      <c r="B39" s="16"/>
      <c r="C39" s="2"/>
      <c r="G39" s="15">
        <v>2</v>
      </c>
      <c r="I39" s="2"/>
      <c r="M39" s="15">
        <v>2</v>
      </c>
    </row>
    <row r="40" spans="1:13" s="38" customFormat="1" ht="15.75" customHeight="1" x14ac:dyDescent="0.4">
      <c r="A40" s="15">
        <v>3</v>
      </c>
      <c r="B40" s="16"/>
      <c r="C40" s="2"/>
      <c r="G40" s="15">
        <v>3</v>
      </c>
      <c r="I40" s="2"/>
      <c r="M40" s="15">
        <v>3</v>
      </c>
    </row>
    <row r="41" spans="1:13" s="38" customFormat="1" ht="15.75" customHeight="1" x14ac:dyDescent="0.4">
      <c r="A41" s="15">
        <v>4</v>
      </c>
      <c r="B41" s="16"/>
      <c r="C41" s="2"/>
      <c r="G41" s="15">
        <v>4</v>
      </c>
      <c r="I41" s="2"/>
      <c r="M41" s="15">
        <v>4</v>
      </c>
    </row>
    <row r="42" spans="1:13" s="38" customFormat="1" ht="15.75" customHeight="1" x14ac:dyDescent="0.4">
      <c r="A42" s="15">
        <v>5</v>
      </c>
      <c r="B42" s="16"/>
      <c r="C42" s="2"/>
      <c r="G42" s="15">
        <v>5</v>
      </c>
      <c r="I42" s="2"/>
      <c r="M42" s="15">
        <v>5</v>
      </c>
    </row>
    <row r="43" spans="1:13" s="38" customFormat="1" ht="15.75" customHeight="1" x14ac:dyDescent="0.4">
      <c r="A43" s="15">
        <v>6</v>
      </c>
      <c r="B43" s="16"/>
      <c r="C43" s="3"/>
      <c r="D43" s="4"/>
      <c r="E43" s="4"/>
      <c r="F43" s="4"/>
      <c r="G43" s="15">
        <v>6</v>
      </c>
      <c r="I43" s="3"/>
      <c r="J43" s="4"/>
      <c r="K43" s="4"/>
      <c r="L43" s="4"/>
      <c r="M43" s="15">
        <v>6</v>
      </c>
    </row>
    <row r="44" spans="1:13" s="11" customFormat="1" ht="8.25" customHeight="1" x14ac:dyDescent="0.4">
      <c r="A44" s="15"/>
      <c r="B44" s="8"/>
      <c r="C44" s="8"/>
      <c r="D44" s="8"/>
      <c r="E44" s="8"/>
      <c r="F44" s="8"/>
      <c r="G44" s="15"/>
      <c r="H44" s="8"/>
      <c r="I44" s="8"/>
      <c r="J44" s="8"/>
      <c r="K44" s="8"/>
      <c r="L44" s="8"/>
      <c r="M44" s="15"/>
    </row>
    <row r="45" spans="1:13" ht="15.75" customHeight="1" x14ac:dyDescent="0.4">
      <c r="C45" s="16"/>
    </row>
    <row r="46" spans="1:13" ht="15.75" customHeight="1" x14ac:dyDescent="0.4">
      <c r="C46" s="16"/>
    </row>
    <row r="47" spans="1:13" ht="15.75" customHeight="1" x14ac:dyDescent="0.4">
      <c r="C47" s="16"/>
    </row>
    <row r="48" spans="1:13" ht="15.75" customHeight="1" x14ac:dyDescent="0.4">
      <c r="C48" s="16"/>
    </row>
    <row r="49" spans="3:3" ht="15.75" customHeight="1" x14ac:dyDescent="0.4">
      <c r="C49" s="16"/>
    </row>
    <row r="50" spans="3:3" ht="15.75" customHeight="1" x14ac:dyDescent="0.4">
      <c r="C50" s="16"/>
    </row>
    <row r="51" spans="3:3" ht="15.75" customHeight="1" x14ac:dyDescent="0.4">
      <c r="C51" s="16"/>
    </row>
    <row r="52" spans="3:3" ht="15.75" customHeight="1" x14ac:dyDescent="0.4">
      <c r="C52" s="16"/>
    </row>
    <row r="53" spans="3:3" ht="15.75" customHeight="1" x14ac:dyDescent="0.4">
      <c r="C53" s="16"/>
    </row>
    <row r="54" spans="3:3" ht="15.75" customHeight="1" x14ac:dyDescent="0.4">
      <c r="C54" s="16"/>
    </row>
    <row r="55" spans="3:3" ht="15.75" customHeight="1" x14ac:dyDescent="0.4">
      <c r="C55" s="16"/>
    </row>
    <row r="56" spans="3:3" ht="15.75" customHeight="1" x14ac:dyDescent="0.4">
      <c r="C56" s="16"/>
    </row>
    <row r="57" spans="3:3" ht="15.75" customHeight="1" x14ac:dyDescent="0.4">
      <c r="C57" s="16"/>
    </row>
    <row r="58" spans="3:3" ht="15.75" customHeight="1" x14ac:dyDescent="0.4">
      <c r="C58" s="16"/>
    </row>
    <row r="59" spans="3:3" ht="15.75" customHeight="1" x14ac:dyDescent="0.4">
      <c r="C59" s="16"/>
    </row>
    <row r="60" spans="3:3" ht="15.75" customHeight="1" x14ac:dyDescent="0.4">
      <c r="C60" s="16"/>
    </row>
    <row r="61" spans="3:3" ht="15.75" customHeight="1" x14ac:dyDescent="0.4">
      <c r="C61" s="16"/>
    </row>
    <row r="62" spans="3:3" ht="15.75" customHeight="1" x14ac:dyDescent="0.4">
      <c r="C62" s="16"/>
    </row>
    <row r="63" spans="3:3" ht="15.75" customHeight="1" x14ac:dyDescent="0.4">
      <c r="C63" s="16"/>
    </row>
    <row r="64" spans="3:3" ht="15.75" customHeight="1" x14ac:dyDescent="0.4">
      <c r="C64" s="16"/>
    </row>
    <row r="65" spans="3:3" ht="15.75" customHeight="1" x14ac:dyDescent="0.4">
      <c r="C65" s="16"/>
    </row>
    <row r="66" spans="3:3" ht="15.75" customHeight="1" x14ac:dyDescent="0.4">
      <c r="C66" s="16"/>
    </row>
    <row r="67" spans="3:3" ht="15.75" customHeight="1" x14ac:dyDescent="0.4">
      <c r="C67" s="16"/>
    </row>
    <row r="68" spans="3:3" ht="15.75" customHeight="1" x14ac:dyDescent="0.4">
      <c r="C68" s="16"/>
    </row>
    <row r="69" spans="3:3" ht="15.75" customHeight="1" x14ac:dyDescent="0.4">
      <c r="C69" s="16"/>
    </row>
    <row r="70" spans="3:3" ht="15.75" customHeight="1" x14ac:dyDescent="0.4">
      <c r="C70" s="16"/>
    </row>
    <row r="71" spans="3:3" ht="15.75" customHeight="1" x14ac:dyDescent="0.4">
      <c r="C71" s="16"/>
    </row>
    <row r="72" spans="3:3" ht="15.75" customHeight="1" x14ac:dyDescent="0.4">
      <c r="C72" s="16"/>
    </row>
    <row r="73" spans="3:3" ht="15.75" customHeight="1" x14ac:dyDescent="0.4">
      <c r="C73" s="16"/>
    </row>
    <row r="74" spans="3:3" ht="15.75" customHeight="1" x14ac:dyDescent="0.4">
      <c r="C74" s="16"/>
    </row>
    <row r="75" spans="3:3" ht="15.75" customHeight="1" x14ac:dyDescent="0.4">
      <c r="C75" s="16"/>
    </row>
    <row r="76" spans="3:3" ht="15.75" customHeight="1" x14ac:dyDescent="0.4">
      <c r="C76" s="16"/>
    </row>
    <row r="77" spans="3:3" ht="15.75" customHeight="1" x14ac:dyDescent="0.4">
      <c r="C77" s="16"/>
    </row>
    <row r="78" spans="3:3" ht="15.75" customHeight="1" x14ac:dyDescent="0.4">
      <c r="C78" s="16"/>
    </row>
    <row r="79" spans="3:3" ht="15.75" customHeight="1" x14ac:dyDescent="0.4">
      <c r="C79" s="16"/>
    </row>
    <row r="80" spans="3:3" ht="15.75" customHeight="1" x14ac:dyDescent="0.4">
      <c r="C80" s="16"/>
    </row>
    <row r="81" spans="3:3" ht="15.75" customHeight="1" x14ac:dyDescent="0.4">
      <c r="C81" s="16"/>
    </row>
    <row r="82" spans="3:3" ht="15.75" customHeight="1" x14ac:dyDescent="0.4">
      <c r="C82" s="16"/>
    </row>
    <row r="83" spans="3:3" ht="15.75" customHeight="1" x14ac:dyDescent="0.4">
      <c r="C83" s="16"/>
    </row>
    <row r="84" spans="3:3" ht="15.75" customHeight="1" x14ac:dyDescent="0.4">
      <c r="C84" s="16"/>
    </row>
    <row r="85" spans="3:3" ht="15.75" customHeight="1" x14ac:dyDescent="0.4">
      <c r="C85" s="16"/>
    </row>
    <row r="86" spans="3:3" ht="15.75" customHeight="1" x14ac:dyDescent="0.4">
      <c r="C86" s="16"/>
    </row>
    <row r="87" spans="3:3" ht="15.75" customHeight="1" x14ac:dyDescent="0.4">
      <c r="C87" s="16"/>
    </row>
    <row r="88" spans="3:3" ht="15.75" customHeight="1" x14ac:dyDescent="0.4">
      <c r="C88" s="16"/>
    </row>
    <row r="89" spans="3:3" ht="15.75" customHeight="1" x14ac:dyDescent="0.4">
      <c r="C89" s="16"/>
    </row>
    <row r="90" spans="3:3" ht="15.75" customHeight="1" x14ac:dyDescent="0.4">
      <c r="C90" s="16"/>
    </row>
    <row r="91" spans="3:3" ht="15.75" customHeight="1" x14ac:dyDescent="0.4">
      <c r="C91" s="16"/>
    </row>
    <row r="92" spans="3:3" ht="15.75" customHeight="1" x14ac:dyDescent="0.4">
      <c r="C92" s="16"/>
    </row>
    <row r="93" spans="3:3" ht="15.75" customHeight="1" x14ac:dyDescent="0.4">
      <c r="C93" s="16"/>
    </row>
    <row r="94" spans="3:3" ht="15.75" customHeight="1" x14ac:dyDescent="0.4">
      <c r="C94" s="16"/>
    </row>
    <row r="95" spans="3:3" ht="15.75" customHeight="1" x14ac:dyDescent="0.4">
      <c r="C95" s="16"/>
    </row>
    <row r="96" spans="3:3" ht="15.75" customHeight="1" x14ac:dyDescent="0.4">
      <c r="C96" s="16"/>
    </row>
    <row r="97" spans="3:3" ht="15.75" customHeight="1" x14ac:dyDescent="0.4">
      <c r="C97" s="16"/>
    </row>
    <row r="98" spans="3:3" ht="15.75" customHeight="1" x14ac:dyDescent="0.4">
      <c r="C98" s="16"/>
    </row>
    <row r="99" spans="3:3" ht="15.75" customHeight="1" x14ac:dyDescent="0.4">
      <c r="C99" s="16"/>
    </row>
    <row r="100" spans="3:3" ht="15.75" customHeight="1" x14ac:dyDescent="0.4">
      <c r="C100" s="16"/>
    </row>
    <row r="101" spans="3:3" ht="15.75" customHeight="1" x14ac:dyDescent="0.4">
      <c r="C101" s="16"/>
    </row>
    <row r="102" spans="3:3" ht="15.75" customHeight="1" x14ac:dyDescent="0.4">
      <c r="C102" s="16"/>
    </row>
    <row r="103" spans="3:3" ht="15.75" customHeight="1" x14ac:dyDescent="0.4">
      <c r="C103" s="16"/>
    </row>
    <row r="104" spans="3:3" ht="15.75" customHeight="1" x14ac:dyDescent="0.4">
      <c r="C104" s="16"/>
    </row>
    <row r="105" spans="3:3" ht="15.75" customHeight="1" x14ac:dyDescent="0.4">
      <c r="C105" s="16"/>
    </row>
    <row r="106" spans="3:3" ht="15.75" customHeight="1" x14ac:dyDescent="0.4">
      <c r="C106" s="16"/>
    </row>
    <row r="107" spans="3:3" ht="15.75" customHeight="1" x14ac:dyDescent="0.4">
      <c r="C107" s="16"/>
    </row>
    <row r="108" spans="3:3" ht="15.75" customHeight="1" x14ac:dyDescent="0.4">
      <c r="C108" s="16"/>
    </row>
    <row r="109" spans="3:3" ht="15.75" customHeight="1" x14ac:dyDescent="0.4">
      <c r="C109" s="16"/>
    </row>
    <row r="110" spans="3:3" ht="15.75" customHeight="1" x14ac:dyDescent="0.4">
      <c r="C110" s="16"/>
    </row>
    <row r="111" spans="3:3" ht="15.75" customHeight="1" x14ac:dyDescent="0.4">
      <c r="C111" s="16"/>
    </row>
    <row r="112" spans="3:3" ht="15.75" customHeight="1" x14ac:dyDescent="0.4">
      <c r="C112" s="16"/>
    </row>
    <row r="113" spans="3:3" ht="15.75" customHeight="1" x14ac:dyDescent="0.4">
      <c r="C113" s="16"/>
    </row>
    <row r="114" spans="3:3" ht="15.75" customHeight="1" x14ac:dyDescent="0.4">
      <c r="C114" s="16"/>
    </row>
    <row r="115" spans="3:3" ht="15.75" customHeight="1" x14ac:dyDescent="0.4">
      <c r="C115" s="16"/>
    </row>
    <row r="116" spans="3:3" ht="15.75" customHeight="1" x14ac:dyDescent="0.4">
      <c r="C116" s="16"/>
    </row>
    <row r="117" spans="3:3" ht="15.75" customHeight="1" x14ac:dyDescent="0.4">
      <c r="C117" s="16"/>
    </row>
    <row r="118" spans="3:3" ht="15.75" customHeight="1" x14ac:dyDescent="0.4">
      <c r="C118" s="16"/>
    </row>
    <row r="119" spans="3:3" ht="15.75" customHeight="1" x14ac:dyDescent="0.4">
      <c r="C119" s="16"/>
    </row>
    <row r="120" spans="3:3" ht="15.75" customHeight="1" x14ac:dyDescent="0.4">
      <c r="C120" s="16"/>
    </row>
    <row r="121" spans="3:3" ht="15.75" customHeight="1" x14ac:dyDescent="0.4">
      <c r="C121" s="16"/>
    </row>
    <row r="122" spans="3:3" ht="15.75" customHeight="1" x14ac:dyDescent="0.4">
      <c r="C122" s="16"/>
    </row>
    <row r="123" spans="3:3" ht="15.75" customHeight="1" x14ac:dyDescent="0.4">
      <c r="C123" s="16"/>
    </row>
    <row r="124" spans="3:3" ht="15.75" customHeight="1" x14ac:dyDescent="0.4">
      <c r="C124" s="16"/>
    </row>
    <row r="125" spans="3:3" ht="15.75" customHeight="1" x14ac:dyDescent="0.4">
      <c r="C125" s="16"/>
    </row>
    <row r="126" spans="3:3" ht="15.75" customHeight="1" x14ac:dyDescent="0.4">
      <c r="C126" s="16"/>
    </row>
    <row r="127" spans="3:3" ht="15.75" customHeight="1" x14ac:dyDescent="0.4">
      <c r="C127" s="16"/>
    </row>
    <row r="128" spans="3:3" ht="15.75" customHeight="1" x14ac:dyDescent="0.4">
      <c r="C128" s="16"/>
    </row>
    <row r="129" spans="3:3" ht="15.75" customHeight="1" x14ac:dyDescent="0.4">
      <c r="C129" s="16"/>
    </row>
    <row r="130" spans="3:3" ht="15.75" customHeight="1" x14ac:dyDescent="0.4">
      <c r="C130" s="16"/>
    </row>
    <row r="131" spans="3:3" ht="15.75" customHeight="1" x14ac:dyDescent="0.4">
      <c r="C131" s="16"/>
    </row>
    <row r="132" spans="3:3" ht="15.75" customHeight="1" x14ac:dyDescent="0.4">
      <c r="C132" s="16"/>
    </row>
    <row r="133" spans="3:3" ht="15.75" customHeight="1" x14ac:dyDescent="0.4">
      <c r="C133" s="16"/>
    </row>
    <row r="134" spans="3:3" ht="15.75" customHeight="1" x14ac:dyDescent="0.4">
      <c r="C134" s="16"/>
    </row>
    <row r="135" spans="3:3" ht="15.75" customHeight="1" x14ac:dyDescent="0.4">
      <c r="C135" s="16"/>
    </row>
    <row r="136" spans="3:3" ht="15.75" customHeight="1" x14ac:dyDescent="0.4">
      <c r="C136" s="16"/>
    </row>
    <row r="137" spans="3:3" ht="15.75" customHeight="1" x14ac:dyDescent="0.4">
      <c r="C137" s="16"/>
    </row>
    <row r="138" spans="3:3" ht="15.75" customHeight="1" x14ac:dyDescent="0.4">
      <c r="C138" s="16"/>
    </row>
    <row r="139" spans="3:3" ht="15.75" customHeight="1" x14ac:dyDescent="0.4">
      <c r="C139" s="16"/>
    </row>
    <row r="140" spans="3:3" ht="15.75" customHeight="1" x14ac:dyDescent="0.4">
      <c r="C140" s="16"/>
    </row>
    <row r="141" spans="3:3" ht="15.75" customHeight="1" x14ac:dyDescent="0.4">
      <c r="C141" s="16"/>
    </row>
    <row r="142" spans="3:3" ht="15.75" customHeight="1" x14ac:dyDescent="0.4">
      <c r="C142" s="16"/>
    </row>
    <row r="143" spans="3:3" ht="15.75" customHeight="1" x14ac:dyDescent="0.4">
      <c r="C143" s="16"/>
    </row>
    <row r="144" spans="3:3" ht="15.75" customHeight="1" x14ac:dyDescent="0.4">
      <c r="C144" s="16"/>
    </row>
    <row r="145" spans="3:3" ht="15.75" customHeight="1" x14ac:dyDescent="0.4">
      <c r="C145" s="16"/>
    </row>
    <row r="146" spans="3:3" ht="15.75" customHeight="1" x14ac:dyDescent="0.4">
      <c r="C146" s="16"/>
    </row>
    <row r="147" spans="3:3" ht="15.75" customHeight="1" x14ac:dyDescent="0.4">
      <c r="C147" s="16"/>
    </row>
    <row r="148" spans="3:3" ht="15.75" customHeight="1" x14ac:dyDescent="0.4">
      <c r="C148" s="16"/>
    </row>
    <row r="149" spans="3:3" ht="15.75" customHeight="1" x14ac:dyDescent="0.4">
      <c r="C149" s="16"/>
    </row>
    <row r="150" spans="3:3" ht="15.75" customHeight="1" x14ac:dyDescent="0.4">
      <c r="C150" s="16"/>
    </row>
    <row r="151" spans="3:3" ht="15.75" customHeight="1" x14ac:dyDescent="0.4">
      <c r="C151" s="16"/>
    </row>
    <row r="152" spans="3:3" ht="15.75" customHeight="1" x14ac:dyDescent="0.4">
      <c r="C152" s="16"/>
    </row>
    <row r="153" spans="3:3" ht="15.75" customHeight="1" x14ac:dyDescent="0.4">
      <c r="C153" s="16"/>
    </row>
    <row r="154" spans="3:3" ht="15.75" customHeight="1" x14ac:dyDescent="0.4">
      <c r="C154" s="16"/>
    </row>
    <row r="155" spans="3:3" ht="15.75" customHeight="1" x14ac:dyDescent="0.4">
      <c r="C155" s="16"/>
    </row>
    <row r="156" spans="3:3" ht="15.75" customHeight="1" x14ac:dyDescent="0.4">
      <c r="C156" s="16"/>
    </row>
    <row r="157" spans="3:3" ht="15.75" customHeight="1" x14ac:dyDescent="0.4">
      <c r="C157" s="16"/>
    </row>
    <row r="158" spans="3:3" ht="15.75" customHeight="1" x14ac:dyDescent="0.4">
      <c r="C158" s="16"/>
    </row>
    <row r="159" spans="3:3" ht="15.75" customHeight="1" x14ac:dyDescent="0.4">
      <c r="C159" s="16"/>
    </row>
    <row r="160" spans="3:3" ht="15.75" customHeight="1" x14ac:dyDescent="0.4">
      <c r="C160" s="16"/>
    </row>
    <row r="161" spans="3:3" ht="15.75" customHeight="1" x14ac:dyDescent="0.4">
      <c r="C161" s="16"/>
    </row>
    <row r="162" spans="3:3" ht="15.75" customHeight="1" x14ac:dyDescent="0.4">
      <c r="C162" s="16"/>
    </row>
    <row r="163" spans="3:3" ht="15.75" customHeight="1" x14ac:dyDescent="0.4">
      <c r="C163" s="16"/>
    </row>
    <row r="164" spans="3:3" ht="15.75" customHeight="1" x14ac:dyDescent="0.4">
      <c r="C164" s="16"/>
    </row>
    <row r="165" spans="3:3" ht="15.75" customHeight="1" x14ac:dyDescent="0.4">
      <c r="C165" s="16"/>
    </row>
    <row r="166" spans="3:3" ht="15.75" customHeight="1" x14ac:dyDescent="0.4">
      <c r="C166" s="16"/>
    </row>
    <row r="167" spans="3:3" ht="15.75" customHeight="1" x14ac:dyDescent="0.4">
      <c r="C167" s="16"/>
    </row>
    <row r="168" spans="3:3" ht="15.75" customHeight="1" x14ac:dyDescent="0.4">
      <c r="C168" s="16"/>
    </row>
    <row r="169" spans="3:3" ht="15.75" customHeight="1" x14ac:dyDescent="0.4">
      <c r="C169" s="16"/>
    </row>
    <row r="170" spans="3:3" ht="15.75" customHeight="1" x14ac:dyDescent="0.4">
      <c r="C170" s="16"/>
    </row>
    <row r="171" spans="3:3" ht="15.75" customHeight="1" x14ac:dyDescent="0.4">
      <c r="C171" s="16"/>
    </row>
    <row r="172" spans="3:3" ht="15.75" customHeight="1" x14ac:dyDescent="0.4">
      <c r="C172" s="16"/>
    </row>
    <row r="173" spans="3:3" ht="15.75" customHeight="1" x14ac:dyDescent="0.4">
      <c r="C173" s="16"/>
    </row>
    <row r="174" spans="3:3" ht="15.75" customHeight="1" x14ac:dyDescent="0.4">
      <c r="C174" s="16"/>
    </row>
    <row r="175" spans="3:3" ht="15.75" customHeight="1" x14ac:dyDescent="0.4">
      <c r="C175" s="16"/>
    </row>
    <row r="176" spans="3:3" ht="15.75" customHeight="1" x14ac:dyDescent="0.4">
      <c r="C176" s="16"/>
    </row>
    <row r="177" spans="3:3" ht="15.75" customHeight="1" x14ac:dyDescent="0.4">
      <c r="C177" s="16"/>
    </row>
    <row r="178" spans="3:3" ht="15.75" customHeight="1" x14ac:dyDescent="0.4">
      <c r="C178" s="16"/>
    </row>
    <row r="179" spans="3:3" ht="15.75" customHeight="1" x14ac:dyDescent="0.4">
      <c r="C179" s="16"/>
    </row>
    <row r="180" spans="3:3" ht="15.75" customHeight="1" x14ac:dyDescent="0.4">
      <c r="C180" s="16"/>
    </row>
    <row r="181" spans="3:3" ht="15.75" customHeight="1" x14ac:dyDescent="0.4">
      <c r="C181" s="16"/>
    </row>
    <row r="182" spans="3:3" ht="15.75" customHeight="1" x14ac:dyDescent="0.4">
      <c r="C182" s="16"/>
    </row>
    <row r="183" spans="3:3" ht="15.75" customHeight="1" x14ac:dyDescent="0.4">
      <c r="C183" s="16"/>
    </row>
    <row r="184" spans="3:3" ht="15.75" customHeight="1" x14ac:dyDescent="0.4">
      <c r="C184" s="16"/>
    </row>
    <row r="185" spans="3:3" ht="15.75" customHeight="1" x14ac:dyDescent="0.4">
      <c r="C185" s="16"/>
    </row>
    <row r="186" spans="3:3" ht="15.75" customHeight="1" x14ac:dyDescent="0.4">
      <c r="C186" s="16"/>
    </row>
    <row r="187" spans="3:3" ht="15.75" customHeight="1" x14ac:dyDescent="0.4">
      <c r="C187" s="16"/>
    </row>
    <row r="188" spans="3:3" ht="15.75" customHeight="1" x14ac:dyDescent="0.4">
      <c r="C188" s="16"/>
    </row>
    <row r="189" spans="3:3" ht="15.75" customHeight="1" x14ac:dyDescent="0.4">
      <c r="C189" s="16"/>
    </row>
    <row r="190" spans="3:3" ht="15.75" customHeight="1" x14ac:dyDescent="0.4">
      <c r="C190" s="16"/>
    </row>
    <row r="191" spans="3:3" ht="15.75" customHeight="1" x14ac:dyDescent="0.4">
      <c r="C191" s="16"/>
    </row>
    <row r="192" spans="3:3" ht="15.75" customHeight="1" x14ac:dyDescent="0.4">
      <c r="C192" s="16"/>
    </row>
    <row r="193" spans="3:3" ht="15.75" customHeight="1" x14ac:dyDescent="0.4">
      <c r="C193" s="16"/>
    </row>
    <row r="194" spans="3:3" ht="15.75" customHeight="1" x14ac:dyDescent="0.4">
      <c r="C194" s="16"/>
    </row>
    <row r="195" spans="3:3" ht="15.75" customHeight="1" x14ac:dyDescent="0.4">
      <c r="C195" s="16"/>
    </row>
    <row r="196" spans="3:3" ht="15.75" customHeight="1" x14ac:dyDescent="0.4">
      <c r="C196" s="16"/>
    </row>
    <row r="197" spans="3:3" ht="15.75" customHeight="1" x14ac:dyDescent="0.4">
      <c r="C197" s="16"/>
    </row>
    <row r="198" spans="3:3" ht="15.75" customHeight="1" x14ac:dyDescent="0.4">
      <c r="C198" s="16"/>
    </row>
    <row r="199" spans="3:3" ht="15.75" customHeight="1" x14ac:dyDescent="0.4">
      <c r="C199" s="16"/>
    </row>
    <row r="200" spans="3:3" ht="15.75" customHeight="1" x14ac:dyDescent="0.4">
      <c r="C200" s="16"/>
    </row>
    <row r="201" spans="3:3" ht="15.75" customHeight="1" x14ac:dyDescent="0.4">
      <c r="C201" s="16"/>
    </row>
    <row r="202" spans="3:3" ht="15.75" customHeight="1" x14ac:dyDescent="0.4">
      <c r="C202" s="16"/>
    </row>
    <row r="203" spans="3:3" ht="15.75" customHeight="1" x14ac:dyDescent="0.4">
      <c r="C203" s="16"/>
    </row>
    <row r="204" spans="3:3" ht="15.75" customHeight="1" x14ac:dyDescent="0.4">
      <c r="C204" s="16"/>
    </row>
    <row r="205" spans="3:3" ht="15.75" customHeight="1" x14ac:dyDescent="0.4">
      <c r="C205" s="16"/>
    </row>
    <row r="206" spans="3:3" ht="15.75" customHeight="1" x14ac:dyDescent="0.4">
      <c r="C206" s="16"/>
    </row>
    <row r="207" spans="3:3" ht="15.75" customHeight="1" x14ac:dyDescent="0.4">
      <c r="C207" s="16"/>
    </row>
    <row r="208" spans="3:3" ht="15.75" customHeight="1" x14ac:dyDescent="0.4">
      <c r="C208" s="16"/>
    </row>
    <row r="209" spans="3:3" ht="15.75" customHeight="1" x14ac:dyDescent="0.4">
      <c r="C209" s="16"/>
    </row>
    <row r="210" spans="3:3" ht="15.75" customHeight="1" x14ac:dyDescent="0.4">
      <c r="C210" s="16"/>
    </row>
    <row r="211" spans="3:3" ht="15.75" customHeight="1" x14ac:dyDescent="0.4">
      <c r="C211" s="16"/>
    </row>
    <row r="212" spans="3:3" ht="15.75" customHeight="1" x14ac:dyDescent="0.4">
      <c r="C212" s="16"/>
    </row>
    <row r="213" spans="3:3" ht="15.75" customHeight="1" x14ac:dyDescent="0.4">
      <c r="C213" s="16"/>
    </row>
    <row r="214" spans="3:3" ht="15.75" customHeight="1" x14ac:dyDescent="0.4">
      <c r="C214" s="16"/>
    </row>
    <row r="215" spans="3:3" ht="15.75" customHeight="1" x14ac:dyDescent="0.4">
      <c r="C215" s="16"/>
    </row>
    <row r="216" spans="3:3" ht="15.75" customHeight="1" x14ac:dyDescent="0.4">
      <c r="C216" s="16"/>
    </row>
    <row r="217" spans="3:3" ht="15.75" customHeight="1" x14ac:dyDescent="0.4">
      <c r="C217" s="16"/>
    </row>
    <row r="218" spans="3:3" ht="15.75" customHeight="1" x14ac:dyDescent="0.4">
      <c r="C218" s="16"/>
    </row>
    <row r="219" spans="3:3" ht="15.75" customHeight="1" x14ac:dyDescent="0.4">
      <c r="C219" s="16"/>
    </row>
    <row r="220" spans="3:3" ht="15.75" customHeight="1" x14ac:dyDescent="0.4">
      <c r="C220" s="16"/>
    </row>
    <row r="221" spans="3:3" ht="15.75" customHeight="1" x14ac:dyDescent="0.4">
      <c r="C221" s="16"/>
    </row>
    <row r="222" spans="3:3" ht="15.75" customHeight="1" x14ac:dyDescent="0.4">
      <c r="C222" s="16"/>
    </row>
    <row r="223" spans="3:3" ht="15.75" customHeight="1" x14ac:dyDescent="0.4">
      <c r="C223" s="16"/>
    </row>
    <row r="224" spans="3:3" ht="15.75" customHeight="1" x14ac:dyDescent="0.4">
      <c r="C224" s="16"/>
    </row>
    <row r="225" spans="3:3" ht="15.75" customHeight="1" x14ac:dyDescent="0.4">
      <c r="C225" s="16"/>
    </row>
    <row r="226" spans="3:3" ht="15.75" customHeight="1" x14ac:dyDescent="0.4">
      <c r="C226" s="16"/>
    </row>
    <row r="227" spans="3:3" ht="15.75" customHeight="1" x14ac:dyDescent="0.4">
      <c r="C227" s="16"/>
    </row>
    <row r="228" spans="3:3" ht="15.75" customHeight="1" x14ac:dyDescent="0.4">
      <c r="C228" s="16"/>
    </row>
    <row r="229" spans="3:3" ht="15.75" customHeight="1" x14ac:dyDescent="0.4">
      <c r="C229" s="16"/>
    </row>
    <row r="230" spans="3:3" ht="15.75" customHeight="1" x14ac:dyDescent="0.4">
      <c r="C230" s="16"/>
    </row>
    <row r="231" spans="3:3" ht="15.75" customHeight="1" x14ac:dyDescent="0.4">
      <c r="C231" s="16"/>
    </row>
    <row r="232" spans="3:3" ht="15.75" customHeight="1" x14ac:dyDescent="0.4">
      <c r="C232" s="16"/>
    </row>
    <row r="233" spans="3:3" ht="15.75" customHeight="1" x14ac:dyDescent="0.4">
      <c r="C233" s="16"/>
    </row>
    <row r="234" spans="3:3" ht="15.75" customHeight="1" x14ac:dyDescent="0.4">
      <c r="C234" s="16"/>
    </row>
    <row r="235" spans="3:3" ht="15.75" customHeight="1" x14ac:dyDescent="0.4">
      <c r="C235" s="16"/>
    </row>
    <row r="236" spans="3:3" ht="15.75" customHeight="1" x14ac:dyDescent="0.4">
      <c r="C236" s="16"/>
    </row>
    <row r="237" spans="3:3" ht="15.75" customHeight="1" x14ac:dyDescent="0.4">
      <c r="C237" s="16"/>
    </row>
    <row r="238" spans="3:3" ht="15.75" customHeight="1" x14ac:dyDescent="0.4">
      <c r="C238" s="16"/>
    </row>
    <row r="239" spans="3:3" ht="15.75" customHeight="1" x14ac:dyDescent="0.4">
      <c r="C239" s="16"/>
    </row>
    <row r="240" spans="3:3" ht="15.75" customHeight="1" x14ac:dyDescent="0.4">
      <c r="C240" s="16"/>
    </row>
    <row r="241" spans="3:3" ht="15.75" customHeight="1" x14ac:dyDescent="0.4">
      <c r="C241" s="16"/>
    </row>
    <row r="242" spans="3:3" ht="15.75" customHeight="1" x14ac:dyDescent="0.4">
      <c r="C242" s="16"/>
    </row>
    <row r="243" spans="3:3" ht="15.75" customHeight="1" x14ac:dyDescent="0.4">
      <c r="C243" s="16"/>
    </row>
    <row r="244" spans="3:3" ht="15.75" customHeight="1" x14ac:dyDescent="0.4">
      <c r="C244" s="16"/>
    </row>
    <row r="245" spans="3:3" ht="15.75" customHeight="1" x14ac:dyDescent="0.4">
      <c r="C245" s="16"/>
    </row>
    <row r="246" spans="3:3" ht="15.75" customHeight="1" x14ac:dyDescent="0.4">
      <c r="C246" s="16"/>
    </row>
    <row r="247" spans="3:3" ht="15.75" customHeight="1" x14ac:dyDescent="0.4">
      <c r="C247" s="16"/>
    </row>
    <row r="248" spans="3:3" ht="15.75" customHeight="1" x14ac:dyDescent="0.4">
      <c r="C248" s="16"/>
    </row>
    <row r="249" spans="3:3" ht="15.75" customHeight="1" x14ac:dyDescent="0.4">
      <c r="C249" s="16"/>
    </row>
    <row r="250" spans="3:3" ht="15.75" customHeight="1" x14ac:dyDescent="0.4">
      <c r="C250" s="16"/>
    </row>
    <row r="251" spans="3:3" ht="15.75" customHeight="1" x14ac:dyDescent="0.4">
      <c r="C251" s="16"/>
    </row>
    <row r="252" spans="3:3" ht="15.75" customHeight="1" x14ac:dyDescent="0.4">
      <c r="C252" s="16"/>
    </row>
    <row r="253" spans="3:3" ht="15.75" customHeight="1" x14ac:dyDescent="0.4">
      <c r="C253" s="16"/>
    </row>
    <row r="254" spans="3:3" ht="15.75" customHeight="1" x14ac:dyDescent="0.4">
      <c r="C254" s="16"/>
    </row>
    <row r="255" spans="3:3" ht="15.75" customHeight="1" x14ac:dyDescent="0.4">
      <c r="C255" s="16"/>
    </row>
    <row r="256" spans="3:3" ht="15.75" customHeight="1" x14ac:dyDescent="0.4">
      <c r="C256" s="16"/>
    </row>
    <row r="257" spans="3:3" ht="15.75" customHeight="1" x14ac:dyDescent="0.4">
      <c r="C257" s="16"/>
    </row>
    <row r="258" spans="3:3" ht="15.75" customHeight="1" x14ac:dyDescent="0.4">
      <c r="C258" s="16"/>
    </row>
    <row r="259" spans="3:3" ht="15.75" customHeight="1" x14ac:dyDescent="0.4">
      <c r="C259" s="16"/>
    </row>
    <row r="260" spans="3:3" ht="15.75" customHeight="1" x14ac:dyDescent="0.4">
      <c r="C260" s="16"/>
    </row>
    <row r="261" spans="3:3" ht="15.75" customHeight="1" x14ac:dyDescent="0.4">
      <c r="C261" s="16"/>
    </row>
    <row r="262" spans="3:3" ht="15.75" customHeight="1" x14ac:dyDescent="0.4">
      <c r="C262" s="16"/>
    </row>
    <row r="263" spans="3:3" ht="15.75" customHeight="1" x14ac:dyDescent="0.4">
      <c r="C263" s="16"/>
    </row>
    <row r="264" spans="3:3" ht="15.75" customHeight="1" x14ac:dyDescent="0.4">
      <c r="C264" s="16"/>
    </row>
    <row r="265" spans="3:3" ht="15.75" customHeight="1" x14ac:dyDescent="0.4">
      <c r="C265" s="16"/>
    </row>
    <row r="266" spans="3:3" ht="15.75" customHeight="1" x14ac:dyDescent="0.4">
      <c r="C266" s="16"/>
    </row>
    <row r="267" spans="3:3" ht="15.75" customHeight="1" x14ac:dyDescent="0.4">
      <c r="C267" s="16"/>
    </row>
    <row r="268" spans="3:3" ht="15.75" customHeight="1" x14ac:dyDescent="0.4">
      <c r="C268" s="16"/>
    </row>
    <row r="269" spans="3:3" ht="15.75" customHeight="1" x14ac:dyDescent="0.4">
      <c r="C269" s="16"/>
    </row>
    <row r="270" spans="3:3" ht="15.75" customHeight="1" x14ac:dyDescent="0.4">
      <c r="C270" s="16"/>
    </row>
    <row r="271" spans="3:3" ht="15.75" customHeight="1" x14ac:dyDescent="0.4">
      <c r="C271" s="16"/>
    </row>
    <row r="272" spans="3:3" ht="15.75" customHeight="1" x14ac:dyDescent="0.4">
      <c r="C272" s="16"/>
    </row>
    <row r="273" spans="3:3" ht="15.75" customHeight="1" x14ac:dyDescent="0.4">
      <c r="C273" s="16"/>
    </row>
    <row r="274" spans="3:3" ht="15.75" customHeight="1" x14ac:dyDescent="0.4">
      <c r="C274" s="16"/>
    </row>
    <row r="275" spans="3:3" ht="15.75" customHeight="1" x14ac:dyDescent="0.4">
      <c r="C275" s="16"/>
    </row>
    <row r="276" spans="3:3" ht="15.75" customHeight="1" x14ac:dyDescent="0.4">
      <c r="C276" s="16"/>
    </row>
    <row r="277" spans="3:3" ht="15.75" customHeight="1" x14ac:dyDescent="0.4">
      <c r="C277" s="16"/>
    </row>
    <row r="278" spans="3:3" ht="15.75" customHeight="1" x14ac:dyDescent="0.4">
      <c r="C278" s="16"/>
    </row>
    <row r="279" spans="3:3" ht="15.75" customHeight="1" x14ac:dyDescent="0.4">
      <c r="C279" s="16"/>
    </row>
    <row r="280" spans="3:3" ht="15.75" customHeight="1" x14ac:dyDescent="0.4">
      <c r="C280" s="16"/>
    </row>
    <row r="281" spans="3:3" ht="15.75" customHeight="1" x14ac:dyDescent="0.4">
      <c r="C281" s="16"/>
    </row>
    <row r="282" spans="3:3" ht="15.75" customHeight="1" x14ac:dyDescent="0.4">
      <c r="C282" s="16"/>
    </row>
    <row r="283" spans="3:3" ht="15.75" customHeight="1" x14ac:dyDescent="0.4">
      <c r="C283" s="16"/>
    </row>
    <row r="284" spans="3:3" ht="15.75" customHeight="1" x14ac:dyDescent="0.4">
      <c r="C284" s="16"/>
    </row>
    <row r="285" spans="3:3" ht="15.75" customHeight="1" x14ac:dyDescent="0.4">
      <c r="C285" s="16"/>
    </row>
    <row r="286" spans="3:3" ht="15.75" customHeight="1" x14ac:dyDescent="0.4">
      <c r="C286" s="16"/>
    </row>
    <row r="287" spans="3:3" ht="15.75" customHeight="1" x14ac:dyDescent="0.4">
      <c r="C287" s="16"/>
    </row>
    <row r="288" spans="3:3" ht="15.75" customHeight="1" x14ac:dyDescent="0.4">
      <c r="C288" s="16"/>
    </row>
    <row r="289" spans="3:3" ht="15.75" customHeight="1" x14ac:dyDescent="0.4">
      <c r="C289" s="16"/>
    </row>
    <row r="290" spans="3:3" ht="15.75" customHeight="1" x14ac:dyDescent="0.4">
      <c r="C290" s="16"/>
    </row>
    <row r="291" spans="3:3" ht="15.75" customHeight="1" x14ac:dyDescent="0.4">
      <c r="C291" s="16"/>
    </row>
    <row r="292" spans="3:3" ht="15.75" customHeight="1" x14ac:dyDescent="0.4">
      <c r="C292" s="16"/>
    </row>
    <row r="293" spans="3:3" ht="15.75" customHeight="1" x14ac:dyDescent="0.4">
      <c r="C293" s="16"/>
    </row>
    <row r="294" spans="3:3" ht="15.75" customHeight="1" x14ac:dyDescent="0.4">
      <c r="C294" s="16"/>
    </row>
    <row r="295" spans="3:3" ht="15.75" customHeight="1" x14ac:dyDescent="0.4">
      <c r="C295" s="16"/>
    </row>
    <row r="296" spans="3:3" ht="15.75" customHeight="1" x14ac:dyDescent="0.4">
      <c r="C296" s="16"/>
    </row>
    <row r="297" spans="3:3" ht="15.75" customHeight="1" x14ac:dyDescent="0.4">
      <c r="C297" s="16"/>
    </row>
    <row r="298" spans="3:3" ht="15.75" customHeight="1" x14ac:dyDescent="0.4">
      <c r="C298" s="16"/>
    </row>
    <row r="299" spans="3:3" ht="15.75" customHeight="1" x14ac:dyDescent="0.4">
      <c r="C299" s="16"/>
    </row>
    <row r="300" spans="3:3" ht="15.75" customHeight="1" x14ac:dyDescent="0.4">
      <c r="C300" s="16"/>
    </row>
    <row r="301" spans="3:3" ht="15.75" customHeight="1" x14ac:dyDescent="0.4">
      <c r="C301" s="16"/>
    </row>
    <row r="302" spans="3:3" ht="15.75" customHeight="1" x14ac:dyDescent="0.4">
      <c r="C302" s="16"/>
    </row>
    <row r="303" spans="3:3" ht="15.75" customHeight="1" x14ac:dyDescent="0.4">
      <c r="C303" s="16"/>
    </row>
    <row r="304" spans="3:3" ht="15.75" customHeight="1" x14ac:dyDescent="0.4">
      <c r="C304" s="16"/>
    </row>
    <row r="305" spans="3:3" ht="15.75" customHeight="1" x14ac:dyDescent="0.4">
      <c r="C305" s="16"/>
    </row>
    <row r="306" spans="3:3" ht="15.75" customHeight="1" x14ac:dyDescent="0.4">
      <c r="C306" s="16"/>
    </row>
    <row r="307" spans="3:3" ht="15.75" customHeight="1" x14ac:dyDescent="0.4">
      <c r="C307" s="16"/>
    </row>
    <row r="308" spans="3:3" ht="15.75" customHeight="1" x14ac:dyDescent="0.4">
      <c r="C308" s="16"/>
    </row>
    <row r="309" spans="3:3" ht="15.75" customHeight="1" x14ac:dyDescent="0.4">
      <c r="C309" s="16"/>
    </row>
    <row r="310" spans="3:3" ht="15.75" customHeight="1" x14ac:dyDescent="0.4">
      <c r="C310" s="16"/>
    </row>
    <row r="311" spans="3:3" ht="15.75" customHeight="1" x14ac:dyDescent="0.4">
      <c r="C311" s="16"/>
    </row>
    <row r="312" spans="3:3" ht="15.75" customHeight="1" x14ac:dyDescent="0.4">
      <c r="C312" s="16"/>
    </row>
    <row r="313" spans="3:3" ht="15.75" customHeight="1" x14ac:dyDescent="0.4">
      <c r="C313" s="16"/>
    </row>
    <row r="314" spans="3:3" ht="15.75" customHeight="1" x14ac:dyDescent="0.4">
      <c r="C314" s="16"/>
    </row>
    <row r="315" spans="3:3" ht="15.75" customHeight="1" x14ac:dyDescent="0.4">
      <c r="C315" s="16"/>
    </row>
    <row r="316" spans="3:3" ht="15.75" customHeight="1" x14ac:dyDescent="0.4">
      <c r="C316" s="16"/>
    </row>
    <row r="317" spans="3:3" ht="15.75" customHeight="1" x14ac:dyDescent="0.4">
      <c r="C317" s="16"/>
    </row>
    <row r="318" spans="3:3" ht="15.75" customHeight="1" x14ac:dyDescent="0.4">
      <c r="C318" s="16"/>
    </row>
    <row r="319" spans="3:3" ht="15.75" customHeight="1" x14ac:dyDescent="0.4">
      <c r="C319" s="16"/>
    </row>
    <row r="320" spans="3:3" ht="15.75" customHeight="1" x14ac:dyDescent="0.4">
      <c r="C320" s="16"/>
    </row>
    <row r="321" spans="3:3" ht="15.75" customHeight="1" x14ac:dyDescent="0.4">
      <c r="C321" s="16"/>
    </row>
    <row r="322" spans="3:3" ht="15.75" customHeight="1" x14ac:dyDescent="0.4">
      <c r="C322" s="16"/>
    </row>
    <row r="323" spans="3:3" ht="15.75" customHeight="1" x14ac:dyDescent="0.4">
      <c r="C323" s="16"/>
    </row>
    <row r="324" spans="3:3" ht="15.75" customHeight="1" x14ac:dyDescent="0.4">
      <c r="C324" s="16"/>
    </row>
    <row r="325" spans="3:3" ht="15.75" customHeight="1" x14ac:dyDescent="0.4">
      <c r="C325" s="16"/>
    </row>
    <row r="326" spans="3:3" ht="15.75" customHeight="1" x14ac:dyDescent="0.4">
      <c r="C326" s="16"/>
    </row>
    <row r="327" spans="3:3" ht="15.75" customHeight="1" x14ac:dyDescent="0.4">
      <c r="C327" s="16"/>
    </row>
    <row r="328" spans="3:3" ht="15.75" customHeight="1" x14ac:dyDescent="0.4">
      <c r="C328" s="16"/>
    </row>
    <row r="329" spans="3:3" ht="15.75" customHeight="1" x14ac:dyDescent="0.4">
      <c r="C329" s="16"/>
    </row>
    <row r="330" spans="3:3" ht="15.75" customHeight="1" x14ac:dyDescent="0.4">
      <c r="C330" s="16"/>
    </row>
    <row r="331" spans="3:3" ht="15.75" customHeight="1" x14ac:dyDescent="0.4">
      <c r="C331" s="16"/>
    </row>
    <row r="332" spans="3:3" ht="15.75" customHeight="1" x14ac:dyDescent="0.4">
      <c r="C332" s="16"/>
    </row>
    <row r="333" spans="3:3" ht="15.75" customHeight="1" x14ac:dyDescent="0.4">
      <c r="C333" s="16"/>
    </row>
    <row r="334" spans="3:3" ht="15.75" customHeight="1" x14ac:dyDescent="0.4">
      <c r="C334" s="16"/>
    </row>
    <row r="335" spans="3:3" ht="15.75" customHeight="1" x14ac:dyDescent="0.4">
      <c r="C335" s="16"/>
    </row>
    <row r="336" spans="3:3" ht="15.75" customHeight="1" x14ac:dyDescent="0.4">
      <c r="C336" s="16"/>
    </row>
    <row r="337" spans="3:3" ht="15.75" customHeight="1" x14ac:dyDescent="0.4">
      <c r="C337" s="16"/>
    </row>
    <row r="338" spans="3:3" ht="15.75" customHeight="1" x14ac:dyDescent="0.4">
      <c r="C338" s="16"/>
    </row>
    <row r="339" spans="3:3" ht="15.75" customHeight="1" x14ac:dyDescent="0.4">
      <c r="C339" s="16"/>
    </row>
    <row r="340" spans="3:3" ht="15.75" customHeight="1" x14ac:dyDescent="0.4">
      <c r="C340" s="16"/>
    </row>
    <row r="341" spans="3:3" ht="15.75" customHeight="1" x14ac:dyDescent="0.4">
      <c r="C341" s="16"/>
    </row>
    <row r="342" spans="3:3" ht="15.75" customHeight="1" x14ac:dyDescent="0.4">
      <c r="C342" s="16"/>
    </row>
    <row r="343" spans="3:3" ht="15.75" customHeight="1" x14ac:dyDescent="0.4">
      <c r="C343" s="16"/>
    </row>
    <row r="344" spans="3:3" ht="15.75" customHeight="1" x14ac:dyDescent="0.4">
      <c r="C344" s="16"/>
    </row>
    <row r="345" spans="3:3" ht="15.75" customHeight="1" x14ac:dyDescent="0.4">
      <c r="C345" s="16"/>
    </row>
    <row r="346" spans="3:3" ht="15.75" customHeight="1" x14ac:dyDescent="0.4">
      <c r="C346" s="16"/>
    </row>
    <row r="347" spans="3:3" ht="15.75" customHeight="1" x14ac:dyDescent="0.4">
      <c r="C347" s="16"/>
    </row>
    <row r="348" spans="3:3" ht="15.75" customHeight="1" x14ac:dyDescent="0.4">
      <c r="C348" s="16"/>
    </row>
    <row r="349" spans="3:3" ht="15.75" customHeight="1" x14ac:dyDescent="0.4">
      <c r="C349" s="16"/>
    </row>
    <row r="350" spans="3:3" ht="15.75" customHeight="1" x14ac:dyDescent="0.4">
      <c r="C350" s="16"/>
    </row>
    <row r="351" spans="3:3" ht="15.75" customHeight="1" x14ac:dyDescent="0.4">
      <c r="C351" s="16"/>
    </row>
    <row r="352" spans="3:3" ht="15.75" customHeight="1" x14ac:dyDescent="0.4">
      <c r="C352" s="16"/>
    </row>
    <row r="353" spans="3:3" ht="15.75" customHeight="1" x14ac:dyDescent="0.4">
      <c r="C353" s="16"/>
    </row>
    <row r="354" spans="3:3" ht="15.75" customHeight="1" x14ac:dyDescent="0.4">
      <c r="C354" s="16"/>
    </row>
    <row r="355" spans="3:3" ht="15.75" customHeight="1" x14ac:dyDescent="0.4">
      <c r="C355" s="16"/>
    </row>
    <row r="356" spans="3:3" ht="15.75" customHeight="1" x14ac:dyDescent="0.4">
      <c r="C356" s="16"/>
    </row>
    <row r="357" spans="3:3" ht="15.75" customHeight="1" x14ac:dyDescent="0.4">
      <c r="C357" s="16"/>
    </row>
    <row r="358" spans="3:3" ht="15.75" customHeight="1" x14ac:dyDescent="0.4">
      <c r="C358" s="16"/>
    </row>
    <row r="359" spans="3:3" ht="15.75" customHeight="1" x14ac:dyDescent="0.4">
      <c r="C359" s="16"/>
    </row>
    <row r="360" spans="3:3" ht="15.75" customHeight="1" x14ac:dyDescent="0.4">
      <c r="C360" s="16"/>
    </row>
    <row r="361" spans="3:3" ht="15.75" customHeight="1" x14ac:dyDescent="0.4">
      <c r="C361" s="16"/>
    </row>
    <row r="362" spans="3:3" ht="15.75" customHeight="1" x14ac:dyDescent="0.4">
      <c r="C362" s="16"/>
    </row>
    <row r="363" spans="3:3" ht="15.75" customHeight="1" x14ac:dyDescent="0.4">
      <c r="C363" s="16"/>
    </row>
    <row r="364" spans="3:3" ht="15.75" customHeight="1" x14ac:dyDescent="0.4">
      <c r="C364" s="16"/>
    </row>
    <row r="365" spans="3:3" ht="15.75" customHeight="1" x14ac:dyDescent="0.4">
      <c r="C365" s="16"/>
    </row>
    <row r="366" spans="3:3" ht="15.75" customHeight="1" x14ac:dyDescent="0.4">
      <c r="C366" s="16"/>
    </row>
    <row r="367" spans="3:3" ht="15.75" customHeight="1" x14ac:dyDescent="0.4">
      <c r="C367" s="16"/>
    </row>
    <row r="368" spans="3:3" ht="15.75" customHeight="1" x14ac:dyDescent="0.4">
      <c r="C368" s="16"/>
    </row>
    <row r="369" spans="3:3" ht="15.75" customHeight="1" x14ac:dyDescent="0.4">
      <c r="C369" s="16"/>
    </row>
    <row r="370" spans="3:3" ht="15.75" customHeight="1" x14ac:dyDescent="0.4">
      <c r="C370" s="16"/>
    </row>
    <row r="371" spans="3:3" ht="15.75" customHeight="1" x14ac:dyDescent="0.4">
      <c r="C371" s="16"/>
    </row>
    <row r="372" spans="3:3" ht="15.75" customHeight="1" x14ac:dyDescent="0.4">
      <c r="C372" s="16"/>
    </row>
    <row r="373" spans="3:3" ht="15.75" customHeight="1" x14ac:dyDescent="0.4">
      <c r="C373" s="16"/>
    </row>
    <row r="374" spans="3:3" ht="15.75" customHeight="1" x14ac:dyDescent="0.4">
      <c r="C374" s="16"/>
    </row>
    <row r="375" spans="3:3" ht="15.75" customHeight="1" x14ac:dyDescent="0.4">
      <c r="C375" s="16"/>
    </row>
    <row r="376" spans="3:3" ht="15.75" customHeight="1" x14ac:dyDescent="0.4">
      <c r="C376" s="16"/>
    </row>
    <row r="377" spans="3:3" ht="15.75" customHeight="1" x14ac:dyDescent="0.4">
      <c r="C377" s="16"/>
    </row>
    <row r="378" spans="3:3" ht="15.75" customHeight="1" x14ac:dyDescent="0.4">
      <c r="C378" s="16"/>
    </row>
    <row r="379" spans="3:3" ht="15.75" customHeight="1" x14ac:dyDescent="0.4">
      <c r="C379" s="16"/>
    </row>
    <row r="380" spans="3:3" ht="15.75" customHeight="1" x14ac:dyDescent="0.4">
      <c r="C380" s="16"/>
    </row>
    <row r="381" spans="3:3" ht="15.75" customHeight="1" x14ac:dyDescent="0.4">
      <c r="C381" s="16"/>
    </row>
    <row r="382" spans="3:3" ht="15.75" customHeight="1" x14ac:dyDescent="0.4">
      <c r="C382" s="16"/>
    </row>
    <row r="383" spans="3:3" ht="15.75" customHeight="1" x14ac:dyDescent="0.4">
      <c r="C383" s="16"/>
    </row>
    <row r="384" spans="3:3" ht="15.75" customHeight="1" x14ac:dyDescent="0.4">
      <c r="C384" s="16"/>
    </row>
    <row r="385" spans="3:3" ht="15.75" customHeight="1" x14ac:dyDescent="0.4">
      <c r="C385" s="16"/>
    </row>
    <row r="386" spans="3:3" ht="15.75" customHeight="1" x14ac:dyDescent="0.4">
      <c r="C386" s="16"/>
    </row>
    <row r="387" spans="3:3" ht="15.75" customHeight="1" x14ac:dyDescent="0.4">
      <c r="C387" s="16"/>
    </row>
    <row r="388" spans="3:3" ht="15.75" customHeight="1" x14ac:dyDescent="0.4">
      <c r="C388" s="16"/>
    </row>
    <row r="389" spans="3:3" ht="15.75" customHeight="1" x14ac:dyDescent="0.4">
      <c r="C389" s="16"/>
    </row>
    <row r="390" spans="3:3" ht="15.75" customHeight="1" x14ac:dyDescent="0.4">
      <c r="C390" s="16"/>
    </row>
    <row r="391" spans="3:3" ht="15.75" customHeight="1" x14ac:dyDescent="0.4">
      <c r="C391" s="16"/>
    </row>
    <row r="392" spans="3:3" ht="15.75" customHeight="1" x14ac:dyDescent="0.4">
      <c r="C392" s="16"/>
    </row>
    <row r="393" spans="3:3" ht="15.75" customHeight="1" x14ac:dyDescent="0.4">
      <c r="C393" s="16"/>
    </row>
    <row r="394" spans="3:3" ht="15.75" customHeight="1" x14ac:dyDescent="0.4">
      <c r="C394" s="16"/>
    </row>
    <row r="395" spans="3:3" ht="15.75" customHeight="1" x14ac:dyDescent="0.4">
      <c r="C395" s="16"/>
    </row>
    <row r="396" spans="3:3" ht="15.75" customHeight="1" x14ac:dyDescent="0.4">
      <c r="C396" s="16"/>
    </row>
    <row r="397" spans="3:3" ht="15.75" customHeight="1" x14ac:dyDescent="0.4">
      <c r="C397" s="16"/>
    </row>
    <row r="398" spans="3:3" ht="15.75" customHeight="1" x14ac:dyDescent="0.4">
      <c r="C398" s="16"/>
    </row>
    <row r="399" spans="3:3" ht="15.75" customHeight="1" x14ac:dyDescent="0.4">
      <c r="C399" s="16"/>
    </row>
    <row r="400" spans="3:3" ht="15.75" customHeight="1" x14ac:dyDescent="0.4">
      <c r="C400" s="16"/>
    </row>
    <row r="401" spans="3:3" ht="15.75" customHeight="1" x14ac:dyDescent="0.4">
      <c r="C401" s="16"/>
    </row>
    <row r="402" spans="3:3" ht="15.75" customHeight="1" x14ac:dyDescent="0.4">
      <c r="C402" s="16"/>
    </row>
    <row r="403" spans="3:3" ht="15.75" customHeight="1" x14ac:dyDescent="0.4">
      <c r="C403" s="16"/>
    </row>
    <row r="404" spans="3:3" ht="15.75" customHeight="1" x14ac:dyDescent="0.4">
      <c r="C404" s="16"/>
    </row>
    <row r="405" spans="3:3" ht="15.75" customHeight="1" x14ac:dyDescent="0.4">
      <c r="C405" s="16"/>
    </row>
    <row r="406" spans="3:3" ht="15.75" customHeight="1" x14ac:dyDescent="0.4">
      <c r="C406" s="16"/>
    </row>
    <row r="407" spans="3:3" ht="15.75" customHeight="1" x14ac:dyDescent="0.4">
      <c r="C407" s="16"/>
    </row>
    <row r="408" spans="3:3" ht="15.75" customHeight="1" x14ac:dyDescent="0.4">
      <c r="C408" s="16"/>
    </row>
    <row r="409" spans="3:3" ht="15.75" customHeight="1" x14ac:dyDescent="0.4">
      <c r="C409" s="16"/>
    </row>
    <row r="410" spans="3:3" ht="15.75" customHeight="1" x14ac:dyDescent="0.4">
      <c r="C410" s="16"/>
    </row>
    <row r="411" spans="3:3" ht="15.75" customHeight="1" x14ac:dyDescent="0.4">
      <c r="C411" s="16"/>
    </row>
    <row r="412" spans="3:3" ht="15.75" customHeight="1" x14ac:dyDescent="0.4">
      <c r="C412" s="16"/>
    </row>
    <row r="413" spans="3:3" ht="15.75" customHeight="1" x14ac:dyDescent="0.4">
      <c r="C413" s="16"/>
    </row>
    <row r="414" spans="3:3" ht="15.75" customHeight="1" x14ac:dyDescent="0.4">
      <c r="C414" s="16"/>
    </row>
    <row r="415" spans="3:3" ht="15.75" customHeight="1" x14ac:dyDescent="0.4">
      <c r="C415" s="16"/>
    </row>
    <row r="416" spans="3:3" ht="15.75" customHeight="1" x14ac:dyDescent="0.4">
      <c r="C416" s="16"/>
    </row>
    <row r="417" spans="3:3" ht="15.75" customHeight="1" x14ac:dyDescent="0.4">
      <c r="C417" s="16"/>
    </row>
    <row r="418" spans="3:3" ht="15.75" customHeight="1" x14ac:dyDescent="0.4">
      <c r="C418" s="16"/>
    </row>
    <row r="419" spans="3:3" ht="15.75" customHeight="1" x14ac:dyDescent="0.4">
      <c r="C419" s="16"/>
    </row>
    <row r="420" spans="3:3" ht="15.75" customHeight="1" x14ac:dyDescent="0.4">
      <c r="C420" s="16"/>
    </row>
    <row r="421" spans="3:3" ht="15.75" customHeight="1" x14ac:dyDescent="0.4">
      <c r="C421" s="16"/>
    </row>
    <row r="422" spans="3:3" ht="15.75" customHeight="1" x14ac:dyDescent="0.4">
      <c r="C422" s="16"/>
    </row>
    <row r="423" spans="3:3" ht="15.75" customHeight="1" x14ac:dyDescent="0.4">
      <c r="C423" s="16"/>
    </row>
    <row r="424" spans="3:3" ht="15.75" customHeight="1" x14ac:dyDescent="0.4">
      <c r="C424" s="16"/>
    </row>
    <row r="425" spans="3:3" ht="15.75" customHeight="1" x14ac:dyDescent="0.4">
      <c r="C425" s="16"/>
    </row>
    <row r="426" spans="3:3" ht="15.75" customHeight="1" x14ac:dyDescent="0.4">
      <c r="C426" s="16"/>
    </row>
    <row r="427" spans="3:3" ht="15.75" customHeight="1" x14ac:dyDescent="0.4">
      <c r="C427" s="16"/>
    </row>
    <row r="428" spans="3:3" ht="15.75" customHeight="1" x14ac:dyDescent="0.4">
      <c r="C428" s="16"/>
    </row>
    <row r="429" spans="3:3" ht="15.75" customHeight="1" x14ac:dyDescent="0.4">
      <c r="C429" s="16"/>
    </row>
    <row r="430" spans="3:3" ht="15.75" customHeight="1" x14ac:dyDescent="0.4">
      <c r="C430" s="16"/>
    </row>
    <row r="431" spans="3:3" ht="15.75" customHeight="1" x14ac:dyDescent="0.4">
      <c r="C431" s="16"/>
    </row>
    <row r="432" spans="3:3" ht="15.75" customHeight="1" x14ac:dyDescent="0.4">
      <c r="C432" s="16"/>
    </row>
    <row r="433" spans="3:3" ht="15.75" customHeight="1" x14ac:dyDescent="0.4">
      <c r="C433" s="16"/>
    </row>
    <row r="434" spans="3:3" ht="15.75" customHeight="1" x14ac:dyDescent="0.4">
      <c r="C434" s="16"/>
    </row>
    <row r="435" spans="3:3" ht="15.75" customHeight="1" x14ac:dyDescent="0.4">
      <c r="C435" s="16"/>
    </row>
    <row r="436" spans="3:3" ht="15.75" customHeight="1" x14ac:dyDescent="0.4">
      <c r="C436" s="16"/>
    </row>
    <row r="437" spans="3:3" ht="15.75" customHeight="1" x14ac:dyDescent="0.4">
      <c r="C437" s="16"/>
    </row>
    <row r="438" spans="3:3" ht="15.75" customHeight="1" x14ac:dyDescent="0.4">
      <c r="C438" s="16"/>
    </row>
    <row r="439" spans="3:3" ht="15.75" customHeight="1" x14ac:dyDescent="0.4">
      <c r="C439" s="16"/>
    </row>
    <row r="440" spans="3:3" ht="15.75" customHeight="1" x14ac:dyDescent="0.4">
      <c r="C440" s="16"/>
    </row>
    <row r="441" spans="3:3" ht="15.75" customHeight="1" x14ac:dyDescent="0.4">
      <c r="C441" s="16"/>
    </row>
    <row r="442" spans="3:3" ht="15.75" customHeight="1" x14ac:dyDescent="0.4">
      <c r="C442" s="16"/>
    </row>
    <row r="443" spans="3:3" ht="15.75" customHeight="1" x14ac:dyDescent="0.4">
      <c r="C443" s="16"/>
    </row>
    <row r="444" spans="3:3" ht="15.75" customHeight="1" x14ac:dyDescent="0.4">
      <c r="C444" s="16"/>
    </row>
    <row r="445" spans="3:3" ht="15.75" customHeight="1" x14ac:dyDescent="0.4">
      <c r="C445" s="16"/>
    </row>
    <row r="446" spans="3:3" ht="15.75" customHeight="1" x14ac:dyDescent="0.4">
      <c r="C446" s="16"/>
    </row>
    <row r="447" spans="3:3" ht="15.75" customHeight="1" x14ac:dyDescent="0.4">
      <c r="C447" s="16"/>
    </row>
    <row r="448" spans="3:3" ht="15.75" customHeight="1" x14ac:dyDescent="0.4">
      <c r="C448" s="16"/>
    </row>
    <row r="449" spans="3:3" ht="15.75" customHeight="1" x14ac:dyDescent="0.4">
      <c r="C449" s="16"/>
    </row>
    <row r="450" spans="3:3" ht="15.75" customHeight="1" x14ac:dyDescent="0.4">
      <c r="C450" s="16"/>
    </row>
    <row r="451" spans="3:3" ht="15.75" customHeight="1" x14ac:dyDescent="0.4">
      <c r="C451" s="16"/>
    </row>
    <row r="452" spans="3:3" ht="15.75" customHeight="1" x14ac:dyDescent="0.4">
      <c r="C452" s="16"/>
    </row>
    <row r="453" spans="3:3" ht="15.75" customHeight="1" x14ac:dyDescent="0.4">
      <c r="C453" s="16"/>
    </row>
    <row r="454" spans="3:3" ht="15.75" customHeight="1" x14ac:dyDescent="0.4">
      <c r="C454" s="16"/>
    </row>
    <row r="455" spans="3:3" ht="15.75" customHeight="1" x14ac:dyDescent="0.4">
      <c r="C455" s="16"/>
    </row>
    <row r="456" spans="3:3" ht="15.75" customHeight="1" x14ac:dyDescent="0.4">
      <c r="C456" s="16"/>
    </row>
    <row r="457" spans="3:3" ht="15.75" customHeight="1" x14ac:dyDescent="0.4">
      <c r="C457" s="16"/>
    </row>
    <row r="458" spans="3:3" ht="15.75" customHeight="1" x14ac:dyDescent="0.4">
      <c r="C458" s="16"/>
    </row>
    <row r="459" spans="3:3" ht="15.75" customHeight="1" x14ac:dyDescent="0.4">
      <c r="C459" s="16"/>
    </row>
    <row r="460" spans="3:3" ht="15.75" customHeight="1" x14ac:dyDescent="0.4">
      <c r="C460" s="16"/>
    </row>
    <row r="461" spans="3:3" ht="15.75" customHeight="1" x14ac:dyDescent="0.4">
      <c r="C461" s="16"/>
    </row>
    <row r="462" spans="3:3" ht="15.75" customHeight="1" x14ac:dyDescent="0.4">
      <c r="C462" s="16"/>
    </row>
    <row r="463" spans="3:3" ht="15.75" customHeight="1" x14ac:dyDescent="0.4">
      <c r="C463" s="16"/>
    </row>
    <row r="464" spans="3:3" ht="15.75" customHeight="1" x14ac:dyDescent="0.4">
      <c r="C464" s="16"/>
    </row>
    <row r="465" spans="3:3" ht="15.75" customHeight="1" x14ac:dyDescent="0.4">
      <c r="C465" s="16"/>
    </row>
    <row r="466" spans="3:3" ht="15.75" customHeight="1" x14ac:dyDescent="0.4">
      <c r="C466" s="16"/>
    </row>
    <row r="467" spans="3:3" ht="15.75" customHeight="1" x14ac:dyDescent="0.4">
      <c r="C467" s="16"/>
    </row>
    <row r="468" spans="3:3" ht="15.75" customHeight="1" x14ac:dyDescent="0.4">
      <c r="C468" s="16"/>
    </row>
    <row r="469" spans="3:3" ht="15.75" customHeight="1" x14ac:dyDescent="0.4">
      <c r="C469" s="16"/>
    </row>
    <row r="470" spans="3:3" ht="15.75" customHeight="1" x14ac:dyDescent="0.4">
      <c r="C470" s="16"/>
    </row>
    <row r="471" spans="3:3" ht="15.75" customHeight="1" x14ac:dyDescent="0.4">
      <c r="C471" s="16"/>
    </row>
    <row r="472" spans="3:3" ht="15.75" customHeight="1" x14ac:dyDescent="0.4">
      <c r="C472" s="16"/>
    </row>
    <row r="473" spans="3:3" ht="15.75" customHeight="1" x14ac:dyDescent="0.4">
      <c r="C473" s="16"/>
    </row>
    <row r="474" spans="3:3" ht="15.75" customHeight="1" x14ac:dyDescent="0.4">
      <c r="C474" s="16"/>
    </row>
    <row r="475" spans="3:3" ht="15.75" customHeight="1" x14ac:dyDescent="0.4">
      <c r="C475" s="16"/>
    </row>
    <row r="476" spans="3:3" ht="15.75" customHeight="1" x14ac:dyDescent="0.4">
      <c r="C476" s="16"/>
    </row>
    <row r="477" spans="3:3" ht="15.75" customHeight="1" x14ac:dyDescent="0.4">
      <c r="C477" s="16"/>
    </row>
    <row r="478" spans="3:3" ht="15.75" customHeight="1" x14ac:dyDescent="0.4">
      <c r="C478" s="16"/>
    </row>
    <row r="479" spans="3:3" ht="15.75" customHeight="1" x14ac:dyDescent="0.4">
      <c r="C479" s="16"/>
    </row>
    <row r="480" spans="3:3" ht="15.75" customHeight="1" x14ac:dyDescent="0.4">
      <c r="C480" s="16"/>
    </row>
    <row r="481" spans="3:3" ht="15.75" customHeight="1" x14ac:dyDescent="0.4">
      <c r="C481" s="16"/>
    </row>
    <row r="482" spans="3:3" ht="15.75" customHeight="1" x14ac:dyDescent="0.4">
      <c r="C482" s="16"/>
    </row>
    <row r="483" spans="3:3" ht="15.75" customHeight="1" x14ac:dyDescent="0.4">
      <c r="C483" s="16"/>
    </row>
    <row r="484" spans="3:3" ht="15.75" customHeight="1" x14ac:dyDescent="0.4">
      <c r="C484" s="16"/>
    </row>
    <row r="485" spans="3:3" ht="15.75" customHeight="1" x14ac:dyDescent="0.4">
      <c r="C485" s="16"/>
    </row>
    <row r="486" spans="3:3" ht="15.75" customHeight="1" x14ac:dyDescent="0.4">
      <c r="C486" s="16"/>
    </row>
    <row r="487" spans="3:3" ht="15.75" customHeight="1" x14ac:dyDescent="0.4">
      <c r="C487" s="16"/>
    </row>
    <row r="488" spans="3:3" ht="15.75" customHeight="1" x14ac:dyDescent="0.4">
      <c r="C488" s="16"/>
    </row>
    <row r="489" spans="3:3" ht="15.75" customHeight="1" x14ac:dyDescent="0.4">
      <c r="C489" s="16"/>
    </row>
    <row r="490" spans="3:3" ht="15.75" customHeight="1" x14ac:dyDescent="0.4">
      <c r="C490" s="16"/>
    </row>
    <row r="491" spans="3:3" ht="15.75" customHeight="1" x14ac:dyDescent="0.4">
      <c r="C491" s="16"/>
    </row>
    <row r="492" spans="3:3" ht="15.75" customHeight="1" x14ac:dyDescent="0.4">
      <c r="C492" s="16"/>
    </row>
    <row r="493" spans="3:3" ht="15.75" customHeight="1" x14ac:dyDescent="0.4">
      <c r="C493" s="16"/>
    </row>
    <row r="494" spans="3:3" ht="15.75" customHeight="1" x14ac:dyDescent="0.4">
      <c r="C494" s="16"/>
    </row>
    <row r="495" spans="3:3" ht="15.75" customHeight="1" x14ac:dyDescent="0.4">
      <c r="C495" s="16"/>
    </row>
    <row r="496" spans="3:3" ht="15.75" customHeight="1" x14ac:dyDescent="0.4">
      <c r="C496" s="16"/>
    </row>
    <row r="497" spans="3:3" ht="15.75" customHeight="1" x14ac:dyDescent="0.4">
      <c r="C497" s="16"/>
    </row>
    <row r="498" spans="3:3" ht="15.75" customHeight="1" x14ac:dyDescent="0.4">
      <c r="C498" s="16"/>
    </row>
    <row r="499" spans="3:3" ht="15.75" customHeight="1" x14ac:dyDescent="0.4">
      <c r="C499" s="16"/>
    </row>
    <row r="500" spans="3:3" ht="15.75" customHeight="1" x14ac:dyDescent="0.4">
      <c r="C500" s="16"/>
    </row>
    <row r="501" spans="3:3" ht="15.75" customHeight="1" x14ac:dyDescent="0.4">
      <c r="C501" s="16"/>
    </row>
    <row r="502" spans="3:3" ht="15.75" customHeight="1" x14ac:dyDescent="0.4">
      <c r="C502" s="16"/>
    </row>
    <row r="503" spans="3:3" ht="15.75" customHeight="1" x14ac:dyDescent="0.4">
      <c r="C503" s="16"/>
    </row>
    <row r="504" spans="3:3" ht="15.75" customHeight="1" x14ac:dyDescent="0.4">
      <c r="C504" s="16"/>
    </row>
    <row r="505" spans="3:3" ht="15.75" customHeight="1" x14ac:dyDescent="0.4">
      <c r="C505" s="16"/>
    </row>
    <row r="506" spans="3:3" ht="15.75" customHeight="1" x14ac:dyDescent="0.4">
      <c r="C506" s="16"/>
    </row>
    <row r="507" spans="3:3" ht="15.75" customHeight="1" x14ac:dyDescent="0.4">
      <c r="C507" s="16"/>
    </row>
    <row r="508" spans="3:3" ht="15.75" customHeight="1" x14ac:dyDescent="0.4">
      <c r="C508" s="16"/>
    </row>
    <row r="509" spans="3:3" ht="15.75" customHeight="1" x14ac:dyDescent="0.4">
      <c r="C509" s="16"/>
    </row>
    <row r="510" spans="3:3" ht="15.75" customHeight="1" x14ac:dyDescent="0.4">
      <c r="C510" s="16"/>
    </row>
    <row r="511" spans="3:3" ht="15.75" customHeight="1" x14ac:dyDescent="0.4">
      <c r="C511" s="16"/>
    </row>
    <row r="512" spans="3:3" ht="15.75" customHeight="1" x14ac:dyDescent="0.4">
      <c r="C512" s="16"/>
    </row>
    <row r="513" spans="3:3" ht="15.75" customHeight="1" x14ac:dyDescent="0.4">
      <c r="C513" s="16"/>
    </row>
    <row r="514" spans="3:3" ht="15.75" customHeight="1" x14ac:dyDescent="0.4">
      <c r="C514" s="16"/>
    </row>
    <row r="515" spans="3:3" ht="15.75" customHeight="1" x14ac:dyDescent="0.4">
      <c r="C515" s="16"/>
    </row>
    <row r="516" spans="3:3" ht="15.75" customHeight="1" x14ac:dyDescent="0.4">
      <c r="C516" s="16"/>
    </row>
    <row r="517" spans="3:3" ht="15.75" customHeight="1" x14ac:dyDescent="0.4">
      <c r="C517" s="16"/>
    </row>
    <row r="518" spans="3:3" ht="15.75" customHeight="1" x14ac:dyDescent="0.4">
      <c r="C518" s="16"/>
    </row>
    <row r="519" spans="3:3" ht="15.75" customHeight="1" x14ac:dyDescent="0.4">
      <c r="C519" s="16"/>
    </row>
    <row r="520" spans="3:3" ht="15.75" customHeight="1" x14ac:dyDescent="0.4">
      <c r="C520" s="16"/>
    </row>
    <row r="521" spans="3:3" ht="15.75" customHeight="1" x14ac:dyDescent="0.4">
      <c r="C521" s="16"/>
    </row>
    <row r="522" spans="3:3" ht="15.75" customHeight="1" x14ac:dyDescent="0.4">
      <c r="C522" s="16"/>
    </row>
    <row r="523" spans="3:3" ht="15.75" customHeight="1" x14ac:dyDescent="0.4">
      <c r="C523" s="16"/>
    </row>
    <row r="524" spans="3:3" ht="15.75" customHeight="1" x14ac:dyDescent="0.4">
      <c r="C524" s="16"/>
    </row>
    <row r="525" spans="3:3" ht="15.75" customHeight="1" x14ac:dyDescent="0.4">
      <c r="C525" s="16"/>
    </row>
    <row r="526" spans="3:3" ht="15.75" customHeight="1" x14ac:dyDescent="0.4">
      <c r="C526" s="16"/>
    </row>
    <row r="527" spans="3:3" ht="15.75" customHeight="1" x14ac:dyDescent="0.4">
      <c r="C527" s="16"/>
    </row>
    <row r="528" spans="3:3" ht="15.75" customHeight="1" x14ac:dyDescent="0.4">
      <c r="C528" s="16"/>
    </row>
    <row r="529" spans="3:3" ht="15.75" customHeight="1" x14ac:dyDescent="0.4">
      <c r="C529" s="16"/>
    </row>
    <row r="530" spans="3:3" ht="15.75" customHeight="1" x14ac:dyDescent="0.4">
      <c r="C530" s="16"/>
    </row>
    <row r="531" spans="3:3" ht="15.75" customHeight="1" x14ac:dyDescent="0.4">
      <c r="C531" s="16"/>
    </row>
    <row r="532" spans="3:3" ht="15.75" customHeight="1" x14ac:dyDescent="0.4">
      <c r="C532" s="16"/>
    </row>
    <row r="533" spans="3:3" ht="15.75" customHeight="1" x14ac:dyDescent="0.4">
      <c r="C533" s="16"/>
    </row>
    <row r="534" spans="3:3" ht="15.75" customHeight="1" x14ac:dyDescent="0.4">
      <c r="C534" s="16"/>
    </row>
    <row r="535" spans="3:3" ht="15.75" customHeight="1" x14ac:dyDescent="0.4">
      <c r="C535" s="16"/>
    </row>
    <row r="536" spans="3:3" ht="15.75" customHeight="1" x14ac:dyDescent="0.4">
      <c r="C536" s="16"/>
    </row>
    <row r="537" spans="3:3" ht="15.75" customHeight="1" x14ac:dyDescent="0.4">
      <c r="C537" s="16"/>
    </row>
    <row r="538" spans="3:3" ht="15.75" customHeight="1" x14ac:dyDescent="0.4">
      <c r="C538" s="16"/>
    </row>
    <row r="539" spans="3:3" ht="15.75" customHeight="1" x14ac:dyDescent="0.4">
      <c r="C539" s="16"/>
    </row>
    <row r="540" spans="3:3" ht="15.75" customHeight="1" x14ac:dyDescent="0.4">
      <c r="C540" s="16"/>
    </row>
    <row r="541" spans="3:3" ht="15.75" customHeight="1" x14ac:dyDescent="0.4">
      <c r="C541" s="16"/>
    </row>
    <row r="542" spans="3:3" ht="15.75" customHeight="1" x14ac:dyDescent="0.4">
      <c r="C542" s="16"/>
    </row>
    <row r="543" spans="3:3" ht="15.75" customHeight="1" x14ac:dyDescent="0.4">
      <c r="C543" s="16"/>
    </row>
    <row r="544" spans="3:3" ht="15.75" customHeight="1" x14ac:dyDescent="0.4">
      <c r="C544" s="16"/>
    </row>
    <row r="545" spans="3:3" ht="15.75" customHeight="1" x14ac:dyDescent="0.4">
      <c r="C545" s="16"/>
    </row>
    <row r="546" spans="3:3" ht="15.75" customHeight="1" x14ac:dyDescent="0.4">
      <c r="C546" s="16"/>
    </row>
    <row r="547" spans="3:3" ht="15.75" customHeight="1" x14ac:dyDescent="0.4">
      <c r="C547" s="16"/>
    </row>
    <row r="548" spans="3:3" ht="15.75" customHeight="1" x14ac:dyDescent="0.4">
      <c r="C548" s="16"/>
    </row>
    <row r="549" spans="3:3" ht="15.75" customHeight="1" x14ac:dyDescent="0.4">
      <c r="C549" s="16"/>
    </row>
    <row r="550" spans="3:3" ht="15.75" customHeight="1" x14ac:dyDescent="0.4">
      <c r="C550" s="16"/>
    </row>
    <row r="551" spans="3:3" ht="15.75" customHeight="1" x14ac:dyDescent="0.4">
      <c r="C551" s="16"/>
    </row>
    <row r="552" spans="3:3" ht="15.75" customHeight="1" x14ac:dyDescent="0.4">
      <c r="C552" s="16"/>
    </row>
    <row r="553" spans="3:3" ht="15.75" customHeight="1" x14ac:dyDescent="0.4">
      <c r="C553" s="16"/>
    </row>
    <row r="554" spans="3:3" ht="15.75" customHeight="1" x14ac:dyDescent="0.4">
      <c r="C554" s="16"/>
    </row>
    <row r="555" spans="3:3" ht="15.75" customHeight="1" x14ac:dyDescent="0.4">
      <c r="C555" s="16"/>
    </row>
    <row r="556" spans="3:3" ht="15.75" customHeight="1" x14ac:dyDescent="0.4">
      <c r="C556" s="16"/>
    </row>
    <row r="557" spans="3:3" ht="15.75" customHeight="1" x14ac:dyDescent="0.4">
      <c r="C557" s="16"/>
    </row>
    <row r="558" spans="3:3" ht="15.75" customHeight="1" x14ac:dyDescent="0.4">
      <c r="C558" s="16"/>
    </row>
    <row r="559" spans="3:3" ht="15.75" customHeight="1" x14ac:dyDescent="0.4">
      <c r="C559" s="16"/>
    </row>
    <row r="560" spans="3:3" ht="15.75" customHeight="1" x14ac:dyDescent="0.4">
      <c r="C560" s="16"/>
    </row>
    <row r="561" spans="3:3" ht="15.75" customHeight="1" x14ac:dyDescent="0.4">
      <c r="C561" s="16"/>
    </row>
    <row r="562" spans="3:3" ht="15.75" customHeight="1" x14ac:dyDescent="0.4">
      <c r="C562" s="16"/>
    </row>
    <row r="563" spans="3:3" ht="15.75" customHeight="1" x14ac:dyDescent="0.4">
      <c r="C563" s="16"/>
    </row>
    <row r="564" spans="3:3" ht="15.75" customHeight="1" x14ac:dyDescent="0.4">
      <c r="C564" s="16"/>
    </row>
    <row r="565" spans="3:3" ht="15.75" customHeight="1" x14ac:dyDescent="0.4">
      <c r="C565" s="16"/>
    </row>
    <row r="566" spans="3:3" ht="15.75" customHeight="1" x14ac:dyDescent="0.4">
      <c r="C566" s="16"/>
    </row>
    <row r="567" spans="3:3" ht="15.75" customHeight="1" x14ac:dyDescent="0.4">
      <c r="C567" s="16"/>
    </row>
    <row r="568" spans="3:3" ht="15.75" customHeight="1" x14ac:dyDescent="0.4">
      <c r="C568" s="16"/>
    </row>
    <row r="569" spans="3:3" ht="15.75" customHeight="1" x14ac:dyDescent="0.4">
      <c r="C569" s="16"/>
    </row>
    <row r="570" spans="3:3" ht="15.75" customHeight="1" x14ac:dyDescent="0.4">
      <c r="C570" s="16"/>
    </row>
    <row r="571" spans="3:3" ht="15.75" customHeight="1" x14ac:dyDescent="0.4">
      <c r="C571" s="16"/>
    </row>
    <row r="572" spans="3:3" ht="15.75" customHeight="1" x14ac:dyDescent="0.4">
      <c r="C572" s="16"/>
    </row>
    <row r="573" spans="3:3" ht="15.75" customHeight="1" x14ac:dyDescent="0.4">
      <c r="C573" s="16"/>
    </row>
    <row r="574" spans="3:3" ht="15.75" customHeight="1" x14ac:dyDescent="0.4">
      <c r="C574" s="16"/>
    </row>
    <row r="575" spans="3:3" ht="15.75" customHeight="1" x14ac:dyDescent="0.4">
      <c r="C575" s="16"/>
    </row>
    <row r="576" spans="3:3" ht="15.75" customHeight="1" x14ac:dyDescent="0.4">
      <c r="C576" s="16"/>
    </row>
    <row r="577" spans="3:3" ht="15.75" customHeight="1" x14ac:dyDescent="0.4">
      <c r="C577" s="16"/>
    </row>
    <row r="578" spans="3:3" ht="15.75" customHeight="1" x14ac:dyDescent="0.4">
      <c r="C578" s="16"/>
    </row>
    <row r="579" spans="3:3" ht="15.75" customHeight="1" x14ac:dyDescent="0.4">
      <c r="C579" s="16"/>
    </row>
    <row r="580" spans="3:3" ht="15.75" customHeight="1" x14ac:dyDescent="0.4">
      <c r="C580" s="16"/>
    </row>
    <row r="581" spans="3:3" ht="15.75" customHeight="1" x14ac:dyDescent="0.4">
      <c r="C581" s="16"/>
    </row>
    <row r="582" spans="3:3" ht="15.75" customHeight="1" x14ac:dyDescent="0.4">
      <c r="C582" s="16"/>
    </row>
    <row r="583" spans="3:3" ht="15.75" customHeight="1" x14ac:dyDescent="0.4">
      <c r="C583" s="16"/>
    </row>
    <row r="584" spans="3:3" ht="15.75" customHeight="1" x14ac:dyDescent="0.4">
      <c r="C584" s="16"/>
    </row>
    <row r="585" spans="3:3" ht="15.75" customHeight="1" x14ac:dyDescent="0.4">
      <c r="C585" s="16"/>
    </row>
    <row r="586" spans="3:3" ht="15.75" customHeight="1" x14ac:dyDescent="0.4">
      <c r="C586" s="16"/>
    </row>
    <row r="587" spans="3:3" ht="15.75" customHeight="1" x14ac:dyDescent="0.4">
      <c r="C587" s="16"/>
    </row>
    <row r="588" spans="3:3" ht="15.75" customHeight="1" x14ac:dyDescent="0.4">
      <c r="C588" s="16"/>
    </row>
    <row r="589" spans="3:3" ht="15.75" customHeight="1" x14ac:dyDescent="0.4">
      <c r="C589" s="16"/>
    </row>
    <row r="590" spans="3:3" ht="15.75" customHeight="1" x14ac:dyDescent="0.4">
      <c r="C590" s="16"/>
    </row>
    <row r="591" spans="3:3" ht="15.75" customHeight="1" x14ac:dyDescent="0.4">
      <c r="C591" s="16"/>
    </row>
    <row r="592" spans="3:3" ht="15.75" customHeight="1" x14ac:dyDescent="0.4">
      <c r="C592" s="16"/>
    </row>
    <row r="593" spans="3:3" ht="15.75" customHeight="1" x14ac:dyDescent="0.4">
      <c r="C593" s="16"/>
    </row>
    <row r="594" spans="3:3" ht="15.75" customHeight="1" x14ac:dyDescent="0.4">
      <c r="C594" s="16"/>
    </row>
    <row r="595" spans="3:3" ht="15.75" customHeight="1" x14ac:dyDescent="0.4">
      <c r="C595" s="16"/>
    </row>
    <row r="596" spans="3:3" ht="15.75" customHeight="1" x14ac:dyDescent="0.4">
      <c r="C596" s="16"/>
    </row>
    <row r="597" spans="3:3" ht="15.75" customHeight="1" x14ac:dyDescent="0.4">
      <c r="C597" s="16"/>
    </row>
    <row r="598" spans="3:3" ht="15.75" customHeight="1" x14ac:dyDescent="0.4">
      <c r="C598" s="16"/>
    </row>
    <row r="599" spans="3:3" ht="15.75" customHeight="1" x14ac:dyDescent="0.4">
      <c r="C599" s="16"/>
    </row>
    <row r="600" spans="3:3" ht="15.75" customHeight="1" x14ac:dyDescent="0.4">
      <c r="C600" s="16"/>
    </row>
    <row r="601" spans="3:3" ht="15.75" customHeight="1" x14ac:dyDescent="0.4">
      <c r="C601" s="16"/>
    </row>
    <row r="602" spans="3:3" ht="15.75" customHeight="1" x14ac:dyDescent="0.4">
      <c r="C602" s="16"/>
    </row>
    <row r="603" spans="3:3" ht="15.75" customHeight="1" x14ac:dyDescent="0.4">
      <c r="C603" s="16"/>
    </row>
    <row r="604" spans="3:3" ht="15.75" customHeight="1" x14ac:dyDescent="0.4">
      <c r="C604" s="16"/>
    </row>
    <row r="605" spans="3:3" ht="15.75" customHeight="1" x14ac:dyDescent="0.4">
      <c r="C605" s="16"/>
    </row>
    <row r="606" spans="3:3" ht="15.75" customHeight="1" x14ac:dyDescent="0.4">
      <c r="C606" s="16"/>
    </row>
    <row r="607" spans="3:3" ht="15.75" customHeight="1" x14ac:dyDescent="0.4">
      <c r="C607" s="16"/>
    </row>
    <row r="608" spans="3:3" ht="15.75" customHeight="1" x14ac:dyDescent="0.4">
      <c r="C608" s="16"/>
    </row>
    <row r="609" spans="3:3" ht="15.75" customHeight="1" x14ac:dyDescent="0.4">
      <c r="C609" s="16"/>
    </row>
    <row r="610" spans="3:3" ht="15.75" customHeight="1" x14ac:dyDescent="0.4">
      <c r="C610" s="16"/>
    </row>
    <row r="611" spans="3:3" ht="15.75" customHeight="1" x14ac:dyDescent="0.4">
      <c r="C611" s="16"/>
    </row>
    <row r="612" spans="3:3" ht="15.75" customHeight="1" x14ac:dyDescent="0.4">
      <c r="C612" s="16"/>
    </row>
    <row r="613" spans="3:3" ht="15.75" customHeight="1" x14ac:dyDescent="0.4">
      <c r="C613" s="16"/>
    </row>
    <row r="614" spans="3:3" ht="15.75" customHeight="1" x14ac:dyDescent="0.4">
      <c r="C614" s="16"/>
    </row>
    <row r="615" spans="3:3" ht="15.75" customHeight="1" x14ac:dyDescent="0.4">
      <c r="C615" s="16"/>
    </row>
    <row r="616" spans="3:3" ht="15.75" customHeight="1" x14ac:dyDescent="0.4">
      <c r="C616" s="16"/>
    </row>
    <row r="617" spans="3:3" ht="15.75" customHeight="1" x14ac:dyDescent="0.4">
      <c r="C617" s="16"/>
    </row>
    <row r="618" spans="3:3" ht="15.75" customHeight="1" x14ac:dyDescent="0.4">
      <c r="C618" s="16"/>
    </row>
    <row r="619" spans="3:3" ht="15.75" customHeight="1" x14ac:dyDescent="0.4">
      <c r="C619" s="16"/>
    </row>
    <row r="620" spans="3:3" ht="15.75" customHeight="1" x14ac:dyDescent="0.4">
      <c r="C620" s="16"/>
    </row>
    <row r="621" spans="3:3" ht="15.75" customHeight="1" x14ac:dyDescent="0.4">
      <c r="C621" s="16"/>
    </row>
    <row r="622" spans="3:3" ht="15.75" customHeight="1" x14ac:dyDescent="0.4">
      <c r="C622" s="16"/>
    </row>
    <row r="623" spans="3:3" ht="15.75" customHeight="1" x14ac:dyDescent="0.4">
      <c r="C623" s="16"/>
    </row>
    <row r="624" spans="3:3" ht="15.75" customHeight="1" x14ac:dyDescent="0.4">
      <c r="C624" s="16"/>
    </row>
    <row r="625" spans="3:3" ht="15.75" customHeight="1" x14ac:dyDescent="0.4">
      <c r="C625" s="16"/>
    </row>
    <row r="626" spans="3:3" ht="15.75" customHeight="1" x14ac:dyDescent="0.4">
      <c r="C626" s="16"/>
    </row>
    <row r="627" spans="3:3" ht="15.75" customHeight="1" x14ac:dyDescent="0.4">
      <c r="C627" s="16"/>
    </row>
    <row r="628" spans="3:3" ht="15.75" customHeight="1" x14ac:dyDescent="0.4">
      <c r="C628" s="16"/>
    </row>
    <row r="629" spans="3:3" ht="15.75" customHeight="1" x14ac:dyDescent="0.4">
      <c r="C629" s="16"/>
    </row>
    <row r="630" spans="3:3" ht="15.75" customHeight="1" x14ac:dyDescent="0.4">
      <c r="C630" s="16"/>
    </row>
    <row r="631" spans="3:3" ht="15.75" customHeight="1" x14ac:dyDescent="0.4">
      <c r="C631" s="16"/>
    </row>
    <row r="632" spans="3:3" ht="15.75" customHeight="1" x14ac:dyDescent="0.4">
      <c r="C632" s="16"/>
    </row>
    <row r="633" spans="3:3" ht="15.75" customHeight="1" x14ac:dyDescent="0.4">
      <c r="C633" s="16"/>
    </row>
    <row r="634" spans="3:3" ht="15.75" customHeight="1" x14ac:dyDescent="0.4">
      <c r="C634" s="16"/>
    </row>
    <row r="635" spans="3:3" ht="15.75" customHeight="1" x14ac:dyDescent="0.4">
      <c r="C635" s="16"/>
    </row>
    <row r="636" spans="3:3" ht="15.75" customHeight="1" x14ac:dyDescent="0.4">
      <c r="C636" s="16"/>
    </row>
    <row r="637" spans="3:3" ht="15.75" customHeight="1" x14ac:dyDescent="0.4">
      <c r="C637" s="16"/>
    </row>
    <row r="638" spans="3:3" ht="15.75" customHeight="1" x14ac:dyDescent="0.4">
      <c r="C638" s="16"/>
    </row>
    <row r="639" spans="3:3" ht="15.75" customHeight="1" x14ac:dyDescent="0.4">
      <c r="C639" s="16"/>
    </row>
    <row r="640" spans="3:3" ht="15.75" customHeight="1" x14ac:dyDescent="0.4">
      <c r="C640" s="16"/>
    </row>
    <row r="641" spans="3:3" ht="15.75" customHeight="1" x14ac:dyDescent="0.4">
      <c r="C641" s="16"/>
    </row>
    <row r="642" spans="3:3" ht="15.75" customHeight="1" x14ac:dyDescent="0.4">
      <c r="C642" s="16"/>
    </row>
    <row r="643" spans="3:3" ht="15.75" customHeight="1" x14ac:dyDescent="0.4">
      <c r="C643" s="16"/>
    </row>
    <row r="644" spans="3:3" ht="15.75" customHeight="1" x14ac:dyDescent="0.4">
      <c r="C644" s="16"/>
    </row>
    <row r="645" spans="3:3" ht="15.75" customHeight="1" x14ac:dyDescent="0.4">
      <c r="C645" s="16"/>
    </row>
    <row r="646" spans="3:3" ht="15.75" customHeight="1" x14ac:dyDescent="0.4">
      <c r="C646" s="16"/>
    </row>
    <row r="647" spans="3:3" ht="15.75" customHeight="1" x14ac:dyDescent="0.4">
      <c r="C647" s="16"/>
    </row>
    <row r="648" spans="3:3" ht="15.75" customHeight="1" x14ac:dyDescent="0.4">
      <c r="C648" s="16"/>
    </row>
    <row r="649" spans="3:3" ht="15.75" customHeight="1" x14ac:dyDescent="0.4">
      <c r="C649" s="16"/>
    </row>
    <row r="650" spans="3:3" ht="15.75" customHeight="1" x14ac:dyDescent="0.4">
      <c r="C650" s="16"/>
    </row>
    <row r="651" spans="3:3" ht="15.75" customHeight="1" x14ac:dyDescent="0.4">
      <c r="C651" s="16"/>
    </row>
    <row r="652" spans="3:3" ht="15.75" customHeight="1" x14ac:dyDescent="0.4">
      <c r="C652" s="16"/>
    </row>
    <row r="653" spans="3:3" ht="15.75" customHeight="1" x14ac:dyDescent="0.4">
      <c r="C653" s="16"/>
    </row>
    <row r="654" spans="3:3" ht="15.75" customHeight="1" x14ac:dyDescent="0.4">
      <c r="C654" s="16"/>
    </row>
    <row r="655" spans="3:3" ht="15.75" customHeight="1" x14ac:dyDescent="0.4">
      <c r="C655" s="16"/>
    </row>
    <row r="656" spans="3:3" ht="15.75" customHeight="1" x14ac:dyDescent="0.4">
      <c r="C656" s="16"/>
    </row>
    <row r="657" spans="3:3" ht="15.75" customHeight="1" x14ac:dyDescent="0.4">
      <c r="C657" s="16"/>
    </row>
    <row r="658" spans="3:3" ht="15.75" customHeight="1" x14ac:dyDescent="0.4">
      <c r="C658" s="16"/>
    </row>
    <row r="659" spans="3:3" ht="15.75" customHeight="1" x14ac:dyDescent="0.4">
      <c r="C659" s="16"/>
    </row>
    <row r="660" spans="3:3" ht="15.75" customHeight="1" x14ac:dyDescent="0.4">
      <c r="C660" s="16"/>
    </row>
    <row r="661" spans="3:3" ht="15.75" customHeight="1" x14ac:dyDescent="0.4">
      <c r="C661" s="16"/>
    </row>
    <row r="662" spans="3:3" ht="15.75" customHeight="1" x14ac:dyDescent="0.4">
      <c r="C662" s="16"/>
    </row>
    <row r="663" spans="3:3" ht="15.75" customHeight="1" x14ac:dyDescent="0.4">
      <c r="C663" s="16"/>
    </row>
    <row r="664" spans="3:3" ht="15.75" customHeight="1" x14ac:dyDescent="0.4">
      <c r="C664" s="16"/>
    </row>
    <row r="665" spans="3:3" ht="15.75" customHeight="1" x14ac:dyDescent="0.4">
      <c r="C665" s="16"/>
    </row>
    <row r="666" spans="3:3" ht="15.75" customHeight="1" x14ac:dyDescent="0.4">
      <c r="C666" s="16"/>
    </row>
    <row r="667" spans="3:3" ht="15.75" customHeight="1" x14ac:dyDescent="0.4">
      <c r="C667" s="16"/>
    </row>
    <row r="668" spans="3:3" ht="15.75" customHeight="1" x14ac:dyDescent="0.4">
      <c r="C668" s="16"/>
    </row>
    <row r="669" spans="3:3" ht="15.75" customHeight="1" x14ac:dyDescent="0.4">
      <c r="C669" s="16"/>
    </row>
    <row r="670" spans="3:3" ht="15.75" customHeight="1" x14ac:dyDescent="0.4">
      <c r="C670" s="16"/>
    </row>
    <row r="671" spans="3:3" ht="15.75" customHeight="1" x14ac:dyDescent="0.4">
      <c r="C671" s="16"/>
    </row>
    <row r="672" spans="3:3" ht="15.75" customHeight="1" x14ac:dyDescent="0.4">
      <c r="C672" s="16"/>
    </row>
    <row r="673" spans="3:3" ht="15.75" customHeight="1" x14ac:dyDescent="0.4">
      <c r="C673" s="16"/>
    </row>
    <row r="674" spans="3:3" ht="15.75" customHeight="1" x14ac:dyDescent="0.4">
      <c r="C674" s="16"/>
    </row>
    <row r="675" spans="3:3" ht="15.75" customHeight="1" x14ac:dyDescent="0.4">
      <c r="C675" s="16"/>
    </row>
    <row r="676" spans="3:3" ht="15.75" customHeight="1" x14ac:dyDescent="0.4">
      <c r="C676" s="16"/>
    </row>
    <row r="677" spans="3:3" ht="15.75" customHeight="1" x14ac:dyDescent="0.4">
      <c r="C677" s="16"/>
    </row>
    <row r="678" spans="3:3" ht="15.75" customHeight="1" x14ac:dyDescent="0.4">
      <c r="C678" s="16"/>
    </row>
    <row r="679" spans="3:3" ht="15.75" customHeight="1" x14ac:dyDescent="0.4">
      <c r="C679" s="16"/>
    </row>
    <row r="680" spans="3:3" ht="15.75" customHeight="1" x14ac:dyDescent="0.4">
      <c r="C680" s="16"/>
    </row>
    <row r="681" spans="3:3" ht="15.75" customHeight="1" x14ac:dyDescent="0.4">
      <c r="C681" s="16"/>
    </row>
    <row r="682" spans="3:3" ht="15.75" customHeight="1" x14ac:dyDescent="0.4">
      <c r="C682" s="16"/>
    </row>
    <row r="683" spans="3:3" ht="15.75" customHeight="1" x14ac:dyDescent="0.4">
      <c r="C683" s="16"/>
    </row>
  </sheetData>
  <mergeCells count="2">
    <mergeCell ref="B1:F1"/>
    <mergeCell ref="H1:L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2A4B9-7BFD-4369-8735-783155F372EF}">
  <sheetPr codeName="工作表5"/>
  <dimension ref="A1:C13"/>
  <sheetViews>
    <sheetView zoomScaleNormal="100" workbookViewId="0">
      <selection activeCell="C14" sqref="C14"/>
    </sheetView>
  </sheetViews>
  <sheetFormatPr defaultRowHeight="15.75" customHeight="1" x14ac:dyDescent="0.4"/>
  <cols>
    <col min="1" max="1" width="9.140625" style="16" customWidth="1"/>
    <col min="2" max="2" width="4.85546875" style="23" bestFit="1" customWidth="1"/>
    <col min="3" max="3" width="6.140625" style="16" bestFit="1" customWidth="1"/>
    <col min="4" max="16384" width="9.140625" style="16"/>
  </cols>
  <sheetData>
    <row r="1" spans="1:3" s="22" customFormat="1" ht="15.75" customHeight="1" x14ac:dyDescent="0.4">
      <c r="A1" s="22" t="s">
        <v>2</v>
      </c>
      <c r="B1" s="23" t="s">
        <v>42</v>
      </c>
    </row>
    <row r="2" spans="1:3" s="22" customFormat="1" ht="15.75" customHeight="1" x14ac:dyDescent="0.4">
      <c r="A2" s="22" t="s">
        <v>4</v>
      </c>
      <c r="B2" s="23" t="s">
        <v>43</v>
      </c>
    </row>
    <row r="3" spans="1:3" s="22" customFormat="1" ht="15.75" customHeight="1" x14ac:dyDescent="0.4">
      <c r="A3" s="22" t="s">
        <v>6</v>
      </c>
      <c r="B3" s="23" t="s">
        <v>44</v>
      </c>
    </row>
    <row r="4" spans="1:3" s="22" customFormat="1" ht="15.75" customHeight="1" x14ac:dyDescent="0.4">
      <c r="A4" s="22" t="s">
        <v>18</v>
      </c>
      <c r="B4" s="23" t="s">
        <v>45</v>
      </c>
    </row>
    <row r="5" spans="1:3" s="22" customFormat="1" ht="15.75" customHeight="1" x14ac:dyDescent="0.4">
      <c r="A5" s="22" t="s">
        <v>19</v>
      </c>
      <c r="B5" s="23" t="s">
        <v>46</v>
      </c>
    </row>
    <row r="6" spans="1:3" s="22" customFormat="1" ht="15.75" customHeight="1" x14ac:dyDescent="0.4">
      <c r="A6" s="22" t="s">
        <v>30</v>
      </c>
      <c r="B6" s="23" t="s">
        <v>47</v>
      </c>
    </row>
    <row r="7" spans="1:3" ht="15.75" customHeight="1" x14ac:dyDescent="0.4">
      <c r="A7" s="16" t="s">
        <v>16</v>
      </c>
      <c r="B7" s="23" t="s">
        <v>48</v>
      </c>
      <c r="C7" s="16" t="s">
        <v>49</v>
      </c>
    </row>
    <row r="8" spans="1:3" ht="15.75" customHeight="1" x14ac:dyDescent="0.4">
      <c r="A8" s="16" t="s">
        <v>50</v>
      </c>
      <c r="B8" s="23" t="s">
        <v>52</v>
      </c>
      <c r="C8" s="16" t="s">
        <v>53</v>
      </c>
    </row>
    <row r="9" spans="1:3" ht="15.75" customHeight="1" x14ac:dyDescent="0.4">
      <c r="A9" s="16" t="s">
        <v>51</v>
      </c>
      <c r="B9" s="23" t="s">
        <v>54</v>
      </c>
      <c r="C9" s="16" t="s">
        <v>55</v>
      </c>
    </row>
    <row r="10" spans="1:3" ht="15.75" customHeight="1" x14ac:dyDescent="0.4">
      <c r="A10" s="16" t="s">
        <v>56</v>
      </c>
      <c r="B10" s="23" t="s">
        <v>58</v>
      </c>
      <c r="C10" s="16" t="s">
        <v>59</v>
      </c>
    </row>
    <row r="11" spans="1:3" ht="15.75" customHeight="1" x14ac:dyDescent="0.4">
      <c r="A11" s="16" t="s">
        <v>61</v>
      </c>
      <c r="B11" s="23" t="s">
        <v>48</v>
      </c>
      <c r="C11" s="16" t="s">
        <v>62</v>
      </c>
    </row>
    <row r="12" spans="1:3" ht="15.75" customHeight="1" x14ac:dyDescent="0.4">
      <c r="A12" s="16" t="s">
        <v>57</v>
      </c>
      <c r="B12" s="23" t="s">
        <v>42</v>
      </c>
      <c r="C12" s="16" t="s">
        <v>60</v>
      </c>
    </row>
    <row r="13" spans="1:3" ht="15.75" customHeight="1" x14ac:dyDescent="0.4">
      <c r="A13" s="16" t="s">
        <v>63</v>
      </c>
      <c r="B13" s="23" t="s">
        <v>64</v>
      </c>
      <c r="C13" s="16" t="s">
        <v>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0"/>
  <sheetViews>
    <sheetView workbookViewId="0">
      <selection activeCell="D1" sqref="D1"/>
    </sheetView>
  </sheetViews>
  <sheetFormatPr defaultRowHeight="15" x14ac:dyDescent="0.45"/>
  <cols>
    <col min="1" max="1" width="4.5703125" customWidth="1"/>
    <col min="2" max="2" width="82.85546875" customWidth="1"/>
    <col min="3" max="3" width="4.5703125" customWidth="1"/>
    <col min="4" max="4" width="77.7109375" customWidth="1"/>
  </cols>
  <sheetData>
    <row r="1" spans="1:4" x14ac:dyDescent="0.45">
      <c r="B1" t="s">
        <v>20</v>
      </c>
      <c r="D1" t="s">
        <v>128</v>
      </c>
    </row>
    <row r="2" spans="1:4" x14ac:dyDescent="0.45">
      <c r="A2">
        <v>1</v>
      </c>
      <c r="B2" t="s">
        <v>89</v>
      </c>
    </row>
    <row r="3" spans="1:4" x14ac:dyDescent="0.45">
      <c r="B3" t="s">
        <v>21</v>
      </c>
      <c r="D3" t="s">
        <v>95</v>
      </c>
    </row>
    <row r="4" spans="1:4" x14ac:dyDescent="0.45">
      <c r="B4" t="s">
        <v>22</v>
      </c>
      <c r="D4" t="s">
        <v>96</v>
      </c>
    </row>
    <row r="5" spans="1:4" x14ac:dyDescent="0.45">
      <c r="A5">
        <v>1</v>
      </c>
      <c r="B5" t="s">
        <v>90</v>
      </c>
      <c r="D5" t="s">
        <v>78</v>
      </c>
    </row>
    <row r="6" spans="1:4" x14ac:dyDescent="0.45">
      <c r="A6">
        <v>2</v>
      </c>
      <c r="B6" t="s">
        <v>91</v>
      </c>
    </row>
    <row r="7" spans="1:4" x14ac:dyDescent="0.45">
      <c r="B7" t="s">
        <v>21</v>
      </c>
      <c r="D7" t="s">
        <v>97</v>
      </c>
    </row>
    <row r="8" spans="1:4" x14ac:dyDescent="0.45">
      <c r="B8" t="s">
        <v>23</v>
      </c>
      <c r="D8" t="s">
        <v>98</v>
      </c>
    </row>
    <row r="9" spans="1:4" x14ac:dyDescent="0.45">
      <c r="A9">
        <v>1</v>
      </c>
      <c r="B9" t="s">
        <v>79</v>
      </c>
      <c r="D9" t="s">
        <v>99</v>
      </c>
    </row>
    <row r="10" spans="1:4" x14ac:dyDescent="0.45">
      <c r="A10">
        <v>2</v>
      </c>
      <c r="B10" t="s">
        <v>80</v>
      </c>
    </row>
    <row r="11" spans="1:4" x14ac:dyDescent="0.45">
      <c r="A11">
        <v>3</v>
      </c>
      <c r="B11" t="s">
        <v>81</v>
      </c>
      <c r="D11" t="s">
        <v>104</v>
      </c>
    </row>
    <row r="12" spans="1:4" x14ac:dyDescent="0.45">
      <c r="A12">
        <v>4</v>
      </c>
      <c r="B12" t="s">
        <v>92</v>
      </c>
      <c r="D12" t="s">
        <v>105</v>
      </c>
    </row>
    <row r="13" spans="1:4" x14ac:dyDescent="0.45">
      <c r="B13" t="s">
        <v>21</v>
      </c>
      <c r="D13" t="s">
        <v>106</v>
      </c>
    </row>
    <row r="14" spans="1:4" x14ac:dyDescent="0.45">
      <c r="B14" t="s">
        <v>24</v>
      </c>
    </row>
    <row r="15" spans="1:4" x14ac:dyDescent="0.45">
      <c r="B15" t="s">
        <v>93</v>
      </c>
      <c r="D15" t="s">
        <v>112</v>
      </c>
    </row>
    <row r="16" spans="1:4" x14ac:dyDescent="0.45">
      <c r="B16" t="s">
        <v>21</v>
      </c>
      <c r="D16" t="s">
        <v>113</v>
      </c>
    </row>
    <row r="17" spans="1:2" x14ac:dyDescent="0.45">
      <c r="B17" t="s">
        <v>25</v>
      </c>
    </row>
    <row r="18" spans="1:2" x14ac:dyDescent="0.45">
      <c r="B18" t="s">
        <v>26</v>
      </c>
    </row>
    <row r="19" spans="1:2" x14ac:dyDescent="0.45">
      <c r="B19" t="s">
        <v>21</v>
      </c>
    </row>
    <row r="20" spans="1:2" x14ac:dyDescent="0.45">
      <c r="B20" t="s">
        <v>27</v>
      </c>
    </row>
    <row r="21" spans="1:2" x14ac:dyDescent="0.45">
      <c r="A21">
        <v>1</v>
      </c>
      <c r="B21" t="s">
        <v>84</v>
      </c>
    </row>
    <row r="22" spans="1:2" x14ac:dyDescent="0.45">
      <c r="A22">
        <v>2</v>
      </c>
      <c r="B22" t="s">
        <v>83</v>
      </c>
    </row>
    <row r="23" spans="1:2" x14ac:dyDescent="0.45">
      <c r="B23" t="s">
        <v>21</v>
      </c>
    </row>
    <row r="24" spans="1:2" x14ac:dyDescent="0.45">
      <c r="B24" t="s">
        <v>77</v>
      </c>
    </row>
    <row r="25" spans="1:2" x14ac:dyDescent="0.45">
      <c r="B25" t="s">
        <v>82</v>
      </c>
    </row>
    <row r="26" spans="1:2" x14ac:dyDescent="0.45">
      <c r="B26" t="s">
        <v>28</v>
      </c>
    </row>
    <row r="27" spans="1:2" x14ac:dyDescent="0.45">
      <c r="B27" t="s">
        <v>29</v>
      </c>
    </row>
    <row r="28" spans="1:2" x14ac:dyDescent="0.45">
      <c r="B28" t="s">
        <v>21</v>
      </c>
    </row>
    <row r="29" spans="1:2" x14ac:dyDescent="0.45">
      <c r="B29" t="s">
        <v>108</v>
      </c>
    </row>
    <row r="30" spans="1:2" x14ac:dyDescent="0.45">
      <c r="A30">
        <v>1</v>
      </c>
      <c r="B30" t="s">
        <v>100</v>
      </c>
    </row>
    <row r="31" spans="1:2" x14ac:dyDescent="0.45">
      <c r="A31">
        <v>2</v>
      </c>
      <c r="B31" t="s">
        <v>85</v>
      </c>
    </row>
    <row r="32" spans="1:2" x14ac:dyDescent="0.45">
      <c r="A32">
        <v>3</v>
      </c>
      <c r="B32" t="s">
        <v>86</v>
      </c>
    </row>
    <row r="33" spans="1:2" x14ac:dyDescent="0.45">
      <c r="A33">
        <v>4</v>
      </c>
      <c r="B33" t="s">
        <v>101</v>
      </c>
    </row>
    <row r="34" spans="1:2" x14ac:dyDescent="0.45">
      <c r="A34">
        <v>5</v>
      </c>
      <c r="B34" t="s">
        <v>87</v>
      </c>
    </row>
    <row r="35" spans="1:2" x14ac:dyDescent="0.45">
      <c r="A35">
        <v>6</v>
      </c>
      <c r="B35" t="s">
        <v>88</v>
      </c>
    </row>
    <row r="36" spans="1:2" x14ac:dyDescent="0.45">
      <c r="A36">
        <v>7</v>
      </c>
      <c r="B36" t="s">
        <v>102</v>
      </c>
    </row>
    <row r="37" spans="1:2" x14ac:dyDescent="0.45">
      <c r="A37">
        <v>8</v>
      </c>
      <c r="B37" t="s">
        <v>103</v>
      </c>
    </row>
    <row r="38" spans="1:2" x14ac:dyDescent="0.45">
      <c r="B38" t="s">
        <v>107</v>
      </c>
    </row>
    <row r="39" spans="1:2" x14ac:dyDescent="0.45">
      <c r="A39">
        <v>1</v>
      </c>
      <c r="B39" t="s">
        <v>127</v>
      </c>
    </row>
    <row r="40" spans="1:2" x14ac:dyDescent="0.45">
      <c r="A40">
        <v>2</v>
      </c>
      <c r="B40" t="s">
        <v>121</v>
      </c>
    </row>
  </sheetData>
  <phoneticPr fontId="1" type="noConversion"/>
  <pageMargins left="0.7" right="0.7" top="0.75" bottom="0.75" header="0.3" footer="0.3"/>
  <pageSetup paperSize="9"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日曆_輸入區</vt:lpstr>
      <vt:lpstr>假別_設定區</vt:lpstr>
      <vt:lpstr>setting_py</vt:lpstr>
      <vt:lpstr>開發歷程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詹德中 KonYeeGee</cp:lastModifiedBy>
  <dcterms:created xsi:type="dcterms:W3CDTF">2015-06-05T18:19:34Z</dcterms:created>
  <dcterms:modified xsi:type="dcterms:W3CDTF">2025-11-18T01:02:45Z</dcterms:modified>
</cp:coreProperties>
</file>